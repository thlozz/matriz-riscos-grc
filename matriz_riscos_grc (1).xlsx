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triz de Riscos" sheetId="1" state="visible" r:id="rId3"/>
    <sheet name="Mapa de Calor" sheetId="2" state="visible" r:id="rId4"/>
    <sheet name="Metodologia" sheetId="3" state="visible" r:id="rId5"/>
  </sheets>
  <definedNames>
    <definedName function="false" hidden="true" localSheetId="0" name="_xlnm._FilterDatabase" vbProcedure="false">'Matriz de Riscos'!$A$4:$P$14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<sst xmlns="http://schemas.openxmlformats.org/spreadsheetml/2006/main" count="180" uniqueCount="150">
  <si>
    <t xml:space="preserve">Matriz de Riscos de Segurança da Informação — Clínica/Hospital (empresa fictícia)</t>
  </si>
  <si>
    <t xml:space="preserve">Dados fictícios. Escalas e critérios na aba Metodologia. Texto azul = entrada editável; preto = fórmula. Residual = estimativa após os controles.</t>
  </si>
  <si>
    <t xml:space="preserve">ID</t>
  </si>
  <si>
    <t xml:space="preserve">Descrição do Risco</t>
  </si>
  <si>
    <t xml:space="preserve">Categoria</t>
  </si>
  <si>
    <t xml:space="preserve">Probabilidade (1-5)</t>
  </si>
  <si>
    <t xml:space="preserve">Impacto (1-5)</t>
  </si>
  <si>
    <t xml:space="preserve">Nível de Risco</t>
  </si>
  <si>
    <t xml:space="preserve">Grau de Risco</t>
  </si>
  <si>
    <t xml:space="preserve">Tratamento</t>
  </si>
  <si>
    <t xml:space="preserve">Controle Sugerido (Mitigação)</t>
  </si>
  <si>
    <t xml:space="preserve">Ref. ISO 27001:2022 (Anexo A)</t>
  </si>
  <si>
    <t xml:space="preserve">Responsável</t>
  </si>
  <si>
    <t xml:space="preserve">Status do Controle</t>
  </si>
  <si>
    <t xml:space="preserve">Prob. Residual (1-5)</t>
  </si>
  <si>
    <t xml:space="preserve">Impacto Residual (1-5)</t>
  </si>
  <si>
    <t xml:space="preserve">Nível Residual</t>
  </si>
  <si>
    <t xml:space="preserve">Grau Residual</t>
  </si>
  <si>
    <t xml:space="preserve">R-01</t>
  </si>
  <si>
    <t xml:space="preserve">Acesso indevido a prontuário eletrônico de paciente (Vazamento de dados LGPD)</t>
  </si>
  <si>
    <t xml:space="preserve">Privacidade / Confidencialidade</t>
  </si>
  <si>
    <t xml:space="preserve">Mitigar</t>
  </si>
  <si>
    <t xml:space="preserve">Implementar RBAC (Controle de Acesso Baseado em Papéis), MFA e auditoria contínua em logs de acesso.</t>
  </si>
  <si>
    <t xml:space="preserve">A.5.15, A.5.18, A.8.5, A.8.15, A.5.34</t>
  </si>
  <si>
    <t xml:space="preserve">DPO / Equipe de IAM</t>
  </si>
  <si>
    <t xml:space="preserve">Planejado</t>
  </si>
  <si>
    <t xml:space="preserve">R-02</t>
  </si>
  <si>
    <t xml:space="preserve">Falha ou corrupção no backup de banco de dados crítico</t>
  </si>
  <si>
    <t xml:space="preserve">Continuidade de Negócios</t>
  </si>
  <si>
    <t xml:space="preserve">Implementar política de backup automático com regra 3-2-1 e testes periódicos de restauração (Restore).</t>
  </si>
  <si>
    <t xml:space="preserve">A.8.13, A.5.30</t>
  </si>
  <si>
    <t xml:space="preserve">SysAdmin / Infraestrutura</t>
  </si>
  <si>
    <t xml:space="preserve">Implementado</t>
  </si>
  <si>
    <t xml:space="preserve">R-03</t>
  </si>
  <si>
    <t xml:space="preserve">Infecção por Ransomware através de ataque de Phishing contra colaboradores</t>
  </si>
  <si>
    <t xml:space="preserve">Segurança Operacional</t>
  </si>
  <si>
    <t xml:space="preserve">Implementar EDR nas estações, filtro de e-mail avançado (Anti-phishing) e programa de conscientização de usuários.</t>
  </si>
  <si>
    <t xml:space="preserve">A.8.7, A.6.3, A.8.16</t>
  </si>
  <si>
    <t xml:space="preserve">Analista de SOC / CISO</t>
  </si>
  <si>
    <t xml:space="preserve">R-04</t>
  </si>
  <si>
    <t xml:space="preserve">Uso de credenciais fracas ou reutilizadas por usuários administrativos</t>
  </si>
  <si>
    <t xml:space="preserve">Identidade e Acesso</t>
  </si>
  <si>
    <t xml:space="preserve">Implementar Gerenciador de Senhas corporativo, política de complexidade e obrigação de MFA em todas as contas.</t>
  </si>
  <si>
    <t xml:space="preserve">A.5.17, A.8.5, A.8.2</t>
  </si>
  <si>
    <t xml:space="preserve">Segurança da Informação</t>
  </si>
  <si>
    <t xml:space="preserve">Em andamento</t>
  </si>
  <si>
    <t xml:space="preserve">R-05</t>
  </si>
  <si>
    <t xml:space="preserve">Servidor web exposto com vulnerabilidades conhecidas e sem patch aplicado</t>
  </si>
  <si>
    <t xml:space="preserve">Gestão de Vulnerabilidades</t>
  </si>
  <si>
    <t xml:space="preserve">Estabelecer rotina quinzenal de Gestão de Vulnerabilidades (Patch Management) e varreduras com scanners de segurança.</t>
  </si>
  <si>
    <t xml:space="preserve">A.8.8</t>
  </si>
  <si>
    <t xml:space="preserve">Engenharia de DevSecOps</t>
  </si>
  <si>
    <t xml:space="preserve">R-06</t>
  </si>
  <si>
    <t xml:space="preserve">Vazamento de código-fonte contendo chaves de API/segredos em repositório público</t>
  </si>
  <si>
    <t xml:space="preserve">Desenvolvimento Seguro</t>
  </si>
  <si>
    <t xml:space="preserve">Integrar ferramentas SAST/Secret Scanning na pipeline CI/CD e utilizar cofre de segredos (Secret Manager).</t>
  </si>
  <si>
    <t xml:space="preserve">A.8.4, A.8.28, A.5.17</t>
  </si>
  <si>
    <t xml:space="preserve">Liderança de Desenvolvimento / DevSecOps</t>
  </si>
  <si>
    <t xml:space="preserve">R-07</t>
  </si>
  <si>
    <t xml:space="preserve">Interrupção do serviço devido a ataque de Negação de Serviço (DDoS)</t>
  </si>
  <si>
    <t xml:space="preserve">Disponibilidade</t>
  </si>
  <si>
    <t xml:space="preserve">Transferir</t>
  </si>
  <si>
    <t xml:space="preserve">Contratar proteção contra DDoS na camada de rede/CDN (Cloudflare, AWS Shield) e regras de Rate Limiting.</t>
  </si>
  <si>
    <t xml:space="preserve">A.8.20, A.8.14</t>
  </si>
  <si>
    <t xml:space="preserve">Infraestrutura / Redes</t>
  </si>
  <si>
    <t xml:space="preserve">R-08</t>
  </si>
  <si>
    <t xml:space="preserve">Descarte inadequado de equipamentos ou mídias físicas contendo dados confidenciais</t>
  </si>
  <si>
    <t xml:space="preserve">Segurança Física</t>
  </si>
  <si>
    <t xml:space="preserve">Criar procedimento formal de sanitização e destruição segura de mídias (NIST SP 800-88) com emissão de laudo.</t>
  </si>
  <si>
    <t xml:space="preserve">A.7.14, A.7.10, A.8.10</t>
  </si>
  <si>
    <t xml:space="preserve">Segurança Física e IT Asset Management</t>
  </si>
  <si>
    <t xml:space="preserve">R-09</t>
  </si>
  <si>
    <t xml:space="preserve">Não conformidade técnica/privacidade em fornecedor ou prestador de serviço de TI</t>
  </si>
  <si>
    <t xml:space="preserve">Risco de Terceiros</t>
  </si>
  <si>
    <t xml:space="preserve">Realizar Due Diligence de Segurança/Privacidade na homologação e incluir cláusulas contratuais de GRC e SLA.</t>
  </si>
  <si>
    <t xml:space="preserve">A.5.19, A.5.20, A.5.22</t>
  </si>
  <si>
    <t xml:space="preserve">Analista de GRC / Jurídico</t>
  </si>
  <si>
    <t xml:space="preserve">R-10</t>
  </si>
  <si>
    <t xml:space="preserve">Perda de dispositivo móvel corporativo (Notebook/Smartphone) sem criptografia de disco</t>
  </si>
  <si>
    <t xml:space="preserve">Segurança de Endpoint</t>
  </si>
  <si>
    <t xml:space="preserve">Habilitar criptografia de disco total (BitLocker/FileVault) e MDM com capacidade de bloqueio/wipe remoto.</t>
  </si>
  <si>
    <t xml:space="preserve">A.8.1, A.8.24, A.7.9</t>
  </si>
  <si>
    <t xml:space="preserve">Suporte de TI / Endpoint Security</t>
  </si>
  <si>
    <t xml:space="preserve">Mapa de Calor de Riscos (5×5)</t>
  </si>
  <si>
    <t xml:space="preserve">Cada célula mostra quantos riscos caem naquela combinação de Probabilidade (linhas) × Impacto (colunas). Cores seguem os limites da aba Metodologia.</t>
  </si>
  <si>
    <t xml:space="preserve">Risco Inerente (antes dos controles)</t>
  </si>
  <si>
    <t xml:space="preserve">Limites (da aba Metodologia)</t>
  </si>
  <si>
    <t xml:space="preserve">Prob. ↓ / Impacto →</t>
  </si>
  <si>
    <t xml:space="preserve">Médio</t>
  </si>
  <si>
    <t xml:space="preserve">Alto</t>
  </si>
  <si>
    <t xml:space="preserve">Crítico</t>
  </si>
  <si>
    <t xml:space="preserve">Nível mínimo de cada grau</t>
  </si>
  <si>
    <t xml:space="preserve">Risco Residual (após os controles sugeridos)</t>
  </si>
  <si>
    <t xml:space="preserve">Resumo por Grau de Risco</t>
  </si>
  <si>
    <t xml:space="preserve">Grau</t>
  </si>
  <si>
    <t xml:space="preserve">Inerente</t>
  </si>
  <si>
    <t xml:space="preserve">Residual</t>
  </si>
  <si>
    <t xml:space="preserve">Baixo</t>
  </si>
  <si>
    <t xml:space="preserve">Total</t>
  </si>
  <si>
    <t xml:space="preserve">Nível médio de risco</t>
  </si>
  <si>
    <t xml:space="preserve">Redução média do nível</t>
  </si>
  <si>
    <t xml:space="preserve">Metodologia de Avaliação de Riscos</t>
  </si>
  <si>
    <t xml:space="preserve">Projeto de portfólio com empresa fictícia (clínica/hospital). Todos os dados são inventados. Inspirado nos conceitos da ISO/IEC 27005 e nos controles do Anexo A da ISO/IEC 27001:2022.</t>
  </si>
  <si>
    <t xml:space="preserve">1. Escala de Probabilidade</t>
  </si>
  <si>
    <t xml:space="preserve">Nível</t>
  </si>
  <si>
    <t xml:space="preserve">Classificação</t>
  </si>
  <si>
    <t xml:space="preserve">Descrição</t>
  </si>
  <si>
    <t xml:space="preserve">Raro</t>
  </si>
  <si>
    <t xml:space="preserve">Pode ocorrer apenas em circunstâncias excepcionais (menos de 1 vez a cada 5 anos)</t>
  </si>
  <si>
    <t xml:space="preserve">Improvável</t>
  </si>
  <si>
    <t xml:space="preserve">Pouco provável de ocorrer (cerca de 1 vez a cada 2-5 anos)</t>
  </si>
  <si>
    <t xml:space="preserve">Possível</t>
  </si>
  <si>
    <t xml:space="preserve">Pode ocorrer em algum momento (cerca de 1 vez por ano)</t>
  </si>
  <si>
    <t xml:space="preserve">Provável</t>
  </si>
  <si>
    <t xml:space="preserve">Deve ocorrer várias vezes (algumas vezes por ano)</t>
  </si>
  <si>
    <t xml:space="preserve">Quase certo</t>
  </si>
  <si>
    <t xml:space="preserve">Ocorre com frequência ou é esperado (mensal ou mais)</t>
  </si>
  <si>
    <t xml:space="preserve">2. Escala de Impacto</t>
  </si>
  <si>
    <t xml:space="preserve">Insignificante</t>
  </si>
  <si>
    <t xml:space="preserve">Sem efeito relevante nas operações, nos dados ou na reputação</t>
  </si>
  <si>
    <t xml:space="preserve">Menor</t>
  </si>
  <si>
    <t xml:space="preserve">Interrupção breve ou exposição limitada, resolvida internamente</t>
  </si>
  <si>
    <t xml:space="preserve">Moderado</t>
  </si>
  <si>
    <t xml:space="preserve">Impacto operacional ou financeiro perceptível; pode exigir comunicação interna</t>
  </si>
  <si>
    <t xml:space="preserve">Grave</t>
  </si>
  <si>
    <t xml:space="preserve">Perda significativa de dados/serviço, risco de sanção regulatória (ex.: LGPD) ou dano à reputação</t>
  </si>
  <si>
    <t xml:space="preserve">Catastrófico</t>
  </si>
  <si>
    <t xml:space="preserve">Impacto em pacientes, vazamento em massa de dados sensíveis ou paralisação prolongada</t>
  </si>
  <si>
    <t xml:space="preserve">3. Classificação do Nível de Risco  (Nível = Probabilidade × Impacto)</t>
  </si>
  <si>
    <t xml:space="preserve">Nível mínimo</t>
  </si>
  <si>
    <t xml:space="preserve">Nível máximo</t>
  </si>
  <si>
    <t xml:space="preserve">Resposta esperada</t>
  </si>
  <si>
    <t xml:space="preserve">Aceitar e monitorar. Nenhuma ação imediata.</t>
  </si>
  <si>
    <t xml:space="preserve">Tratar dentro do ciclo normal de planejamento (ex.: 6 meses).</t>
  </si>
  <si>
    <t xml:space="preserve">Plano de ação com responsável e prazo definidos (ex.: 90 dias).</t>
  </si>
  <si>
    <t xml:space="preserve">Ação imediata e acompanhamento direto da diretoria/CISO.</t>
  </si>
  <si>
    <t xml:space="preserve">Os níveis mínimos (células azuis) podem ser alterados; Grau, mapa de calor e resumo recalculam sozinhos.</t>
  </si>
  <si>
    <t xml:space="preserve">4. Opções de Tratamento do Risco</t>
  </si>
  <si>
    <t xml:space="preserve">Significado</t>
  </si>
  <si>
    <t xml:space="preserve">Reduzir probabilidade e/ou impacto com controles.</t>
  </si>
  <si>
    <t xml:space="preserve">Aceitar</t>
  </si>
  <si>
    <t xml:space="preserve">Aceitar formalmente o risco, sem controles adicionais (decisão documentada).</t>
  </si>
  <si>
    <t xml:space="preserve">Compartilhar o risco com terceiros (seguro, contrato, serviço gerenciado).</t>
  </si>
  <si>
    <t xml:space="preserve">Evitar</t>
  </si>
  <si>
    <t xml:space="preserve">Eliminar a atividade ou condição que gera o risco.</t>
  </si>
  <si>
    <t xml:space="preserve">5. Legenda e premissas</t>
  </si>
  <si>
    <t xml:space="preserve">Texto azul = valor editável (entrada). Texto preto = fórmula (não editar).</t>
  </si>
  <si>
    <t xml:space="preserve">Risco inerente = antes dos controles. Risco residual = estimativa após a implementação dos controles sugeridos.</t>
  </si>
  <si>
    <t xml:space="preserve">Os valores de probabilidade, impacto e residual são estimativas fictícias, criadas para fins de estudo e portfólio.</t>
  </si>
  <si>
    <t xml:space="preserve">Referências ao Anexo A seguem a numeração da ISO/IEC 27001:2022 (ex.: A.8.13 = Backup de informações).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</si>
</sst>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;\-0;;@"/>
    <numFmt numFmtId="167" formatCode="0.0"/>
    <numFmt numFmtId="168" formatCode="0.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CCFFFF"/>
      </patternFill>
    </fill>
    <fill>
      <patternFill patternType="solid">
        <fgColor rgb="FFC00000"/>
        <bgColor rgb="FF800000"/>
      </patternFill>
    </fill>
    <fill>
      <patternFill patternType="solid">
        <fgColor rgb="FFED7D31"/>
        <bgColor rgb="FFFF8080"/>
      </patternFill>
    </fill>
    <fill>
      <patternFill patternType="solid">
        <fgColor rgb="FFFFD966"/>
        <bgColor rgb="FFFFFF99"/>
      </patternFill>
    </fill>
    <fill>
      <patternFill patternType="solid">
        <fgColor rgb="FFA9D08E"/>
        <bgColor rgb="FFBFBFB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D7D31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ont>
        <name val="Arial"/>
        <charset val="1"/>
        <family val="0"/>
        <b val="1"/>
      </font>
      <fill>
        <patternFill>
          <bgColor rgb="FFED7D31"/>
        </patternFill>
      </fill>
    </dxf>
    <dxf>
      <font>
        <name val="Arial"/>
        <charset val="1"/>
        <family val="0"/>
        <b val="1"/>
      </font>
      <fill>
        <patternFill>
          <bgColor rgb="FFFFD966"/>
        </patternFill>
      </fill>
    </dxf>
    <dxf>
      <font>
        <name val="Arial"/>
        <charset val="1"/>
        <family val="0"/>
        <b val="1"/>
      </font>
      <fill>
        <patternFill>
          <bgColor rgb="FFA9D08E"/>
        </patternFill>
      </fill>
    </dxf>
    <dxf>
      <fill>
        <patternFill>
          <bgColor rgb="FFED7D31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9D08E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ED7D31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2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48"/>
    <col collapsed="false" customWidth="true" hidden="false" outlineLevel="0" max="10" min="10" style="0" width="22"/>
    <col collapsed="false" customWidth="true" hidden="false" outlineLevel="0" max="11" min="11" style="0" width="24"/>
    <col collapsed="false" customWidth="true" hidden="false" outlineLevel="0" max="12" min="12" style="0" width="14"/>
    <col collapsed="false" customWidth="true" hidden="false" outlineLevel="0" max="14" min="13" style="0" width="12"/>
    <col collapsed="false" customWidth="true" hidden="false" outlineLevel="0" max="16" min="15" style="0" width="1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2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</row>
    <row r="5" customFormat="false" ht="57.75" hidden="false" customHeight="true" outlineLevel="0" collapsed="false">
      <c r="A5" s="4" t="s">
        <v>18</v>
      </c>
      <c r="B5" s="5" t="s">
        <v>19</v>
      </c>
      <c r="C5" s="5" t="s">
        <v>20</v>
      </c>
      <c r="D5" s="6" t="n">
        <v>3</v>
      </c>
      <c r="E5" s="6" t="n">
        <v>5</v>
      </c>
      <c r="F5" s="7" t="n">
        <f aca="false">D5*E5</f>
        <v>15</v>
      </c>
      <c r="G5" s="8" t="str">
        <f aca="false">IF(F5&gt;=Metodologia!$B$25,"Crítico",IF(F5&gt;=Metodologia!$B$24,"Alto",IF(F5&gt;=Metodologia!$B$23,"Médio","Baixo")))</f>
        <v>Alto</v>
      </c>
      <c r="H5" s="6" t="s">
        <v>21</v>
      </c>
      <c r="I5" s="5" t="s">
        <v>22</v>
      </c>
      <c r="J5" s="7" t="s">
        <v>23</v>
      </c>
      <c r="K5" s="5" t="s">
        <v>24</v>
      </c>
      <c r="L5" s="6" t="s">
        <v>25</v>
      </c>
      <c r="M5" s="6" t="n">
        <v>2</v>
      </c>
      <c r="N5" s="6" t="n">
        <v>4</v>
      </c>
      <c r="O5" s="7" t="n">
        <f aca="false">M5*N5</f>
        <v>8</v>
      </c>
      <c r="P5" s="8" t="str">
        <f aca="false">IF(O5&gt;=Metodologia!$B$25,"Crítico",IF(O5&gt;=Metodologia!$B$24,"Alto",IF(O5&gt;=Metodologia!$B$23,"Médio","Baixo")))</f>
        <v>Médio</v>
      </c>
    </row>
    <row r="6" customFormat="false" ht="57.75" hidden="false" customHeight="true" outlineLevel="0" collapsed="false">
      <c r="A6" s="4" t="s">
        <v>26</v>
      </c>
      <c r="B6" s="5" t="s">
        <v>27</v>
      </c>
      <c r="C6" s="5" t="s">
        <v>28</v>
      </c>
      <c r="D6" s="6" t="n">
        <v>2</v>
      </c>
      <c r="E6" s="6" t="n">
        <v>5</v>
      </c>
      <c r="F6" s="7" t="n">
        <f aca="false">D6*E6</f>
        <v>10</v>
      </c>
      <c r="G6" s="8" t="str">
        <f aca="false">IF(F6&gt;=Metodologia!$B$25,"Crítico",IF(F6&gt;=Metodologia!$B$24,"Alto",IF(F6&gt;=Metodologia!$B$23,"Médio","Baixo")))</f>
        <v>Médio</v>
      </c>
      <c r="H6" s="6" t="s">
        <v>21</v>
      </c>
      <c r="I6" s="5" t="s">
        <v>29</v>
      </c>
      <c r="J6" s="7" t="s">
        <v>30</v>
      </c>
      <c r="K6" s="5" t="s">
        <v>31</v>
      </c>
      <c r="L6" s="6" t="s">
        <v>32</v>
      </c>
      <c r="M6" s="6" t="n">
        <v>1</v>
      </c>
      <c r="N6" s="6" t="n">
        <v>4</v>
      </c>
      <c r="O6" s="7" t="n">
        <f aca="false">M6*N6</f>
        <v>4</v>
      </c>
      <c r="P6" s="8" t="str">
        <f aca="false">IF(O6&gt;=Metodologia!$B$25,"Crítico",IF(O6&gt;=Metodologia!$B$24,"Alto",IF(O6&gt;=Metodologia!$B$23,"Médio","Baixo")))</f>
        <v>Baixo</v>
      </c>
    </row>
    <row r="7" customFormat="false" ht="57.75" hidden="false" customHeight="true" outlineLevel="0" collapsed="false">
      <c r="A7" s="4" t="s">
        <v>33</v>
      </c>
      <c r="B7" s="5" t="s">
        <v>34</v>
      </c>
      <c r="C7" s="5" t="s">
        <v>35</v>
      </c>
      <c r="D7" s="6" t="n">
        <v>4</v>
      </c>
      <c r="E7" s="6" t="n">
        <v>5</v>
      </c>
      <c r="F7" s="7" t="n">
        <f aca="false">D7*E7</f>
        <v>20</v>
      </c>
      <c r="G7" s="8" t="str">
        <f aca="false">IF(F7&gt;=Metodologia!$B$25,"Crítico",IF(F7&gt;=Metodologia!$B$24,"Alto",IF(F7&gt;=Metodologia!$B$23,"Médio","Baixo")))</f>
        <v>Crítico</v>
      </c>
      <c r="H7" s="6" t="s">
        <v>21</v>
      </c>
      <c r="I7" s="5" t="s">
        <v>36</v>
      </c>
      <c r="J7" s="7" t="s">
        <v>37</v>
      </c>
      <c r="K7" s="5" t="s">
        <v>38</v>
      </c>
      <c r="L7" s="6" t="s">
        <v>25</v>
      </c>
      <c r="M7" s="6" t="n">
        <v>2</v>
      </c>
      <c r="N7" s="6" t="n">
        <v>4</v>
      </c>
      <c r="O7" s="7" t="n">
        <f aca="false">M7*N7</f>
        <v>8</v>
      </c>
      <c r="P7" s="8" t="str">
        <f aca="false">IF(O7&gt;=Metodologia!$B$25,"Crítico",IF(O7&gt;=Metodologia!$B$24,"Alto",IF(O7&gt;=Metodologia!$B$23,"Médio","Baixo")))</f>
        <v>Médio</v>
      </c>
    </row>
    <row r="8" customFormat="false" ht="57.75" hidden="false" customHeight="true" outlineLevel="0" collapsed="false">
      <c r="A8" s="4" t="s">
        <v>39</v>
      </c>
      <c r="B8" s="5" t="s">
        <v>40</v>
      </c>
      <c r="C8" s="5" t="s">
        <v>41</v>
      </c>
      <c r="D8" s="6" t="n">
        <v>4</v>
      </c>
      <c r="E8" s="6" t="n">
        <v>4</v>
      </c>
      <c r="F8" s="7" t="n">
        <f aca="false">D8*E8</f>
        <v>16</v>
      </c>
      <c r="G8" s="8" t="str">
        <f aca="false">IF(F8&gt;=Metodologia!$B$25,"Crítico",IF(F8&gt;=Metodologia!$B$24,"Alto",IF(F8&gt;=Metodologia!$B$23,"Médio","Baixo")))</f>
        <v>Alto</v>
      </c>
      <c r="H8" s="6" t="s">
        <v>21</v>
      </c>
      <c r="I8" s="5" t="s">
        <v>42</v>
      </c>
      <c r="J8" s="7" t="s">
        <v>43</v>
      </c>
      <c r="K8" s="5" t="s">
        <v>44</v>
      </c>
      <c r="L8" s="6" t="s">
        <v>45</v>
      </c>
      <c r="M8" s="6" t="n">
        <v>2</v>
      </c>
      <c r="N8" s="6" t="n">
        <v>3</v>
      </c>
      <c r="O8" s="7" t="n">
        <f aca="false">M8*N8</f>
        <v>6</v>
      </c>
      <c r="P8" s="8" t="str">
        <f aca="false">IF(O8&gt;=Metodologia!$B$25,"Crítico",IF(O8&gt;=Metodologia!$B$24,"Alto",IF(O8&gt;=Metodologia!$B$23,"Médio","Baixo")))</f>
        <v>Médio</v>
      </c>
    </row>
    <row r="9" customFormat="false" ht="57.75" hidden="false" customHeight="true" outlineLevel="0" collapsed="false">
      <c r="A9" s="4" t="s">
        <v>46</v>
      </c>
      <c r="B9" s="5" t="s">
        <v>47</v>
      </c>
      <c r="C9" s="5" t="s">
        <v>48</v>
      </c>
      <c r="D9" s="6" t="n">
        <v>3</v>
      </c>
      <c r="E9" s="6" t="n">
        <v>4</v>
      </c>
      <c r="F9" s="7" t="n">
        <f aca="false">D9*E9</f>
        <v>12</v>
      </c>
      <c r="G9" s="8" t="str">
        <f aca="false">IF(F9&gt;=Metodologia!$B$25,"Crítico",IF(F9&gt;=Metodologia!$B$24,"Alto",IF(F9&gt;=Metodologia!$B$23,"Médio","Baixo")))</f>
        <v>Alto</v>
      </c>
      <c r="H9" s="6" t="s">
        <v>21</v>
      </c>
      <c r="I9" s="5" t="s">
        <v>49</v>
      </c>
      <c r="J9" s="7" t="s">
        <v>50</v>
      </c>
      <c r="K9" s="5" t="s">
        <v>51</v>
      </c>
      <c r="L9" s="6" t="s">
        <v>25</v>
      </c>
      <c r="M9" s="6" t="n">
        <v>2</v>
      </c>
      <c r="N9" s="6" t="n">
        <v>3</v>
      </c>
      <c r="O9" s="7" t="n">
        <f aca="false">M9*N9</f>
        <v>6</v>
      </c>
      <c r="P9" s="8" t="str">
        <f aca="false">IF(O9&gt;=Metodologia!$B$25,"Crítico",IF(O9&gt;=Metodologia!$B$24,"Alto",IF(O9&gt;=Metodologia!$B$23,"Médio","Baixo")))</f>
        <v>Médio</v>
      </c>
    </row>
    <row r="10" customFormat="false" ht="57.75" hidden="false" customHeight="true" outlineLevel="0" collapsed="false">
      <c r="A10" s="4" t="s">
        <v>52</v>
      </c>
      <c r="B10" s="5" t="s">
        <v>53</v>
      </c>
      <c r="C10" s="5" t="s">
        <v>54</v>
      </c>
      <c r="D10" s="6" t="n">
        <v>3</v>
      </c>
      <c r="E10" s="6" t="n">
        <v>4</v>
      </c>
      <c r="F10" s="7" t="n">
        <f aca="false">D10*E10</f>
        <v>12</v>
      </c>
      <c r="G10" s="8" t="str">
        <f aca="false">IF(F10&gt;=Metodologia!$B$25,"Crítico",IF(F10&gt;=Metodologia!$B$24,"Alto",IF(F10&gt;=Metodologia!$B$23,"Médio","Baixo")))</f>
        <v>Alto</v>
      </c>
      <c r="H10" s="6" t="s">
        <v>21</v>
      </c>
      <c r="I10" s="5" t="s">
        <v>55</v>
      </c>
      <c r="J10" s="7" t="s">
        <v>56</v>
      </c>
      <c r="K10" s="5" t="s">
        <v>57</v>
      </c>
      <c r="L10" s="6" t="s">
        <v>25</v>
      </c>
      <c r="M10" s="6" t="n">
        <v>1</v>
      </c>
      <c r="N10" s="6" t="n">
        <v>3</v>
      </c>
      <c r="O10" s="7" t="n">
        <f aca="false">M10*N10</f>
        <v>3</v>
      </c>
      <c r="P10" s="8" t="str">
        <f aca="false">IF(O10&gt;=Metodologia!$B$25,"Crítico",IF(O10&gt;=Metodologia!$B$24,"Alto",IF(O10&gt;=Metodologia!$B$23,"Médio","Baixo")))</f>
        <v>Baixo</v>
      </c>
    </row>
    <row r="11" customFormat="false" ht="57.75" hidden="false" customHeight="true" outlineLevel="0" collapsed="false">
      <c r="A11" s="4" t="s">
        <v>58</v>
      </c>
      <c r="B11" s="5" t="s">
        <v>59</v>
      </c>
      <c r="C11" s="5" t="s">
        <v>60</v>
      </c>
      <c r="D11" s="6" t="n">
        <v>2</v>
      </c>
      <c r="E11" s="6" t="n">
        <v>4</v>
      </c>
      <c r="F11" s="7" t="n">
        <f aca="false">D11*E11</f>
        <v>8</v>
      </c>
      <c r="G11" s="8" t="str">
        <f aca="false">IF(F11&gt;=Metodologia!$B$25,"Crítico",IF(F11&gt;=Metodologia!$B$24,"Alto",IF(F11&gt;=Metodologia!$B$23,"Médio","Baixo")))</f>
        <v>Médio</v>
      </c>
      <c r="H11" s="6" t="s">
        <v>61</v>
      </c>
      <c r="I11" s="5" t="s">
        <v>62</v>
      </c>
      <c r="J11" s="7" t="s">
        <v>63</v>
      </c>
      <c r="K11" s="5" t="s">
        <v>64</v>
      </c>
      <c r="L11" s="6" t="s">
        <v>25</v>
      </c>
      <c r="M11" s="6" t="n">
        <v>2</v>
      </c>
      <c r="N11" s="6" t="n">
        <v>2</v>
      </c>
      <c r="O11" s="7" t="n">
        <f aca="false">M11*N11</f>
        <v>4</v>
      </c>
      <c r="P11" s="8" t="str">
        <f aca="false">IF(O11&gt;=Metodologia!$B$25,"Crítico",IF(O11&gt;=Metodologia!$B$24,"Alto",IF(O11&gt;=Metodologia!$B$23,"Médio","Baixo")))</f>
        <v>Baixo</v>
      </c>
    </row>
    <row r="12" customFormat="false" ht="57.75" hidden="false" customHeight="true" outlineLevel="0" collapsed="false">
      <c r="A12" s="4" t="s">
        <v>65</v>
      </c>
      <c r="B12" s="5" t="s">
        <v>66</v>
      </c>
      <c r="C12" s="5" t="s">
        <v>67</v>
      </c>
      <c r="D12" s="6" t="n">
        <v>2</v>
      </c>
      <c r="E12" s="6" t="n">
        <v>3</v>
      </c>
      <c r="F12" s="7" t="n">
        <f aca="false">D12*E12</f>
        <v>6</v>
      </c>
      <c r="G12" s="8" t="str">
        <f aca="false">IF(F12&gt;=Metodologia!$B$25,"Crítico",IF(F12&gt;=Metodologia!$B$24,"Alto",IF(F12&gt;=Metodologia!$B$23,"Médio","Baixo")))</f>
        <v>Médio</v>
      </c>
      <c r="H12" s="6" t="s">
        <v>21</v>
      </c>
      <c r="I12" s="5" t="s">
        <v>68</v>
      </c>
      <c r="J12" s="7" t="s">
        <v>69</v>
      </c>
      <c r="K12" s="5" t="s">
        <v>70</v>
      </c>
      <c r="L12" s="6" t="s">
        <v>25</v>
      </c>
      <c r="M12" s="6" t="n">
        <v>1</v>
      </c>
      <c r="N12" s="6" t="n">
        <v>2</v>
      </c>
      <c r="O12" s="7" t="n">
        <f aca="false">M12*N12</f>
        <v>2</v>
      </c>
      <c r="P12" s="8" t="str">
        <f aca="false">IF(O12&gt;=Metodologia!$B$25,"Crítico",IF(O12&gt;=Metodologia!$B$24,"Alto",IF(O12&gt;=Metodologia!$B$23,"Médio","Baixo")))</f>
        <v>Baixo</v>
      </c>
    </row>
    <row r="13" customFormat="false" ht="57.75" hidden="false" customHeight="true" outlineLevel="0" collapsed="false">
      <c r="A13" s="4" t="s">
        <v>71</v>
      </c>
      <c r="B13" s="5" t="s">
        <v>72</v>
      </c>
      <c r="C13" s="5" t="s">
        <v>73</v>
      </c>
      <c r="D13" s="6" t="n">
        <v>3</v>
      </c>
      <c r="E13" s="6" t="n">
        <v>4</v>
      </c>
      <c r="F13" s="7" t="n">
        <f aca="false">D13*E13</f>
        <v>12</v>
      </c>
      <c r="G13" s="8" t="str">
        <f aca="false">IF(F13&gt;=Metodologia!$B$25,"Crítico",IF(F13&gt;=Metodologia!$B$24,"Alto",IF(F13&gt;=Metodologia!$B$23,"Médio","Baixo")))</f>
        <v>Alto</v>
      </c>
      <c r="H13" s="6" t="s">
        <v>21</v>
      </c>
      <c r="I13" s="5" t="s">
        <v>74</v>
      </c>
      <c r="J13" s="7" t="s">
        <v>75</v>
      </c>
      <c r="K13" s="5" t="s">
        <v>76</v>
      </c>
      <c r="L13" s="6" t="s">
        <v>45</v>
      </c>
      <c r="M13" s="6" t="n">
        <v>2</v>
      </c>
      <c r="N13" s="6" t="n">
        <v>3</v>
      </c>
      <c r="O13" s="7" t="n">
        <f aca="false">M13*N13</f>
        <v>6</v>
      </c>
      <c r="P13" s="8" t="str">
        <f aca="false">IF(O13&gt;=Metodologia!$B$25,"Crítico",IF(O13&gt;=Metodologia!$B$24,"Alto",IF(O13&gt;=Metodologia!$B$23,"Médio","Baixo")))</f>
        <v>Médio</v>
      </c>
    </row>
    <row r="14" customFormat="false" ht="57.75" hidden="false" customHeight="true" outlineLevel="0" collapsed="false">
      <c r="A14" s="4" t="s">
        <v>77</v>
      </c>
      <c r="B14" s="5" t="s">
        <v>78</v>
      </c>
      <c r="C14" s="5" t="s">
        <v>79</v>
      </c>
      <c r="D14" s="6" t="n">
        <v>3</v>
      </c>
      <c r="E14" s="6" t="n">
        <v>3</v>
      </c>
      <c r="F14" s="7" t="n">
        <f aca="false">D14*E14</f>
        <v>9</v>
      </c>
      <c r="G14" s="8" t="str">
        <f aca="false">IF(F14&gt;=Metodologia!$B$25,"Crítico",IF(F14&gt;=Metodologia!$B$24,"Alto",IF(F14&gt;=Metodologia!$B$23,"Médio","Baixo")))</f>
        <v>Médio</v>
      </c>
      <c r="H14" s="6" t="s">
        <v>21</v>
      </c>
      <c r="I14" s="5" t="s">
        <v>80</v>
      </c>
      <c r="J14" s="7" t="s">
        <v>81</v>
      </c>
      <c r="K14" s="5" t="s">
        <v>82</v>
      </c>
      <c r="L14" s="6" t="s">
        <v>32</v>
      </c>
      <c r="M14" s="6" t="n">
        <v>3</v>
      </c>
      <c r="N14" s="6" t="n">
        <v>1</v>
      </c>
      <c r="O14" s="7" t="n">
        <f aca="false">M14*N14</f>
        <v>3</v>
      </c>
      <c r="P14" s="8" t="str">
        <f aca="false">IF(O14&gt;=Metodologia!$B$25,"Crítico",IF(O14&gt;=Metodologia!$B$24,"Alto",IF(O14&gt;=Metodologia!$B$23,"Médio","Baixo")))</f>
        <v>Baixo</v>
      </c>
    </row>
  </sheetData>
  <autoFilter ref="A4:P14"/>
  <conditionalFormatting sqref="G5:G14">
    <cfRule type="cellIs" priority="2" operator="equal" aboveAverage="0" equalAverage="0" bottom="0" percent="0" rank="0" text="" dxfId="9">
      <formula>"Crítico"</formula>
    </cfRule>
    <cfRule type="cellIs" priority="3" operator="equal" aboveAverage="0" equalAverage="0" bottom="0" percent="0" rank="0" text="" dxfId="10">
      <formula>"Alto"</formula>
    </cfRule>
    <cfRule type="cellIs" priority="4" operator="equal" aboveAverage="0" equalAverage="0" bottom="0" percent="0" rank="0" text="" dxfId="11">
      <formula>"Médio"</formula>
    </cfRule>
    <cfRule type="cellIs" priority="5" operator="equal" aboveAverage="0" equalAverage="0" bottom="0" percent="0" rank="0" text="" dxfId="12">
      <formula>"Baixo"</formula>
    </cfRule>
  </conditionalFormatting>
  <conditionalFormatting sqref="P5:P14">
    <cfRule type="cellIs" priority="6" operator="equal" aboveAverage="0" equalAverage="0" bottom="0" percent="0" rank="0" text="" dxfId="9">
      <formula>"Crítico"</formula>
    </cfRule>
    <cfRule type="cellIs" priority="7" operator="equal" aboveAverage="0" equalAverage="0" bottom="0" percent="0" rank="0" text="" dxfId="10">
      <formula>"Alto"</formula>
    </cfRule>
    <cfRule type="cellIs" priority="8" operator="equal" aboveAverage="0" equalAverage="0" bottom="0" percent="0" rank="0" text="" dxfId="11">
      <formula>"Médio"</formula>
    </cfRule>
    <cfRule type="cellIs" priority="9" operator="equal" aboveAverage="0" equalAverage="0" bottom="0" percent="0" rank="0" text="" dxfId="12">
      <formula>"Baixo"</formula>
    </cfRule>
  </conditionalFormatting>
  <dataValidations count="3">
    <dataValidation allowBlank="false" error="Use um número inteiro de 1 a 5." errorStyle="stop" errorTitle="Valor inválido" operator="between" showDropDown="false" showErrorMessage="true" showInputMessage="false" sqref="D5:E14 M5:N14" type="whole">
      <formula1>1</formula1>
      <formula2>5</formula2>
    </dataValidation>
    <dataValidation allowBlank="false" errorStyle="stop" operator="between" showDropDown="false" showErrorMessage="false" showInputMessage="false" sqref="H5:H14" type="list">
      <formula1>Metodologia!$A$30:$A$33</formula1>
      <formula2>0</formula2>
    </dataValidation>
    <dataValidation allowBlank="false" errorStyle="stop" operator="between" showDropDown="false" showErrorMessage="false" showInputMessage="false" sqref="L5:L14" type="list">
      <formula1>"Planejado,Em andamento,Implementado"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6" min="2" style="0" width="13"/>
    <col collapsed="false" customWidth="true" hidden="false" outlineLevel="0" max="8" min="8" style="0" width="16"/>
    <col collapsed="false" customWidth="true" hidden="false" outlineLevel="0" max="9" min="9" style="0" width="10"/>
  </cols>
  <sheetData>
    <row r="1" customFormat="false" ht="17.35" hidden="false" customHeight="false" outlineLevel="0" collapsed="false">
      <c r="A1" s="1" t="s">
        <v>83</v>
      </c>
    </row>
    <row r="2" customFormat="false" ht="15" hidden="false" customHeight="false" outlineLevel="0" collapsed="false">
      <c r="A2" s="2" t="s">
        <v>84</v>
      </c>
    </row>
    <row r="4" customFormat="false" ht="15" hidden="false" customHeight="false" outlineLevel="0" collapsed="false">
      <c r="A4" s="9" t="s">
        <v>85</v>
      </c>
      <c r="H4" s="10" t="s">
        <v>86</v>
      </c>
    </row>
    <row r="5" customFormat="false" ht="30" hidden="false" customHeight="true" outlineLevel="0" collapsed="false">
      <c r="A5" s="3" t="s">
        <v>87</v>
      </c>
      <c r="B5" s="3" t="n">
        <v>1</v>
      </c>
      <c r="C5" s="3" t="n">
        <v>2</v>
      </c>
      <c r="D5" s="3" t="n">
        <v>3</v>
      </c>
      <c r="E5" s="3" t="n">
        <v>4</v>
      </c>
      <c r="F5" s="3" t="n">
        <v>5</v>
      </c>
      <c r="H5" s="11" t="s">
        <v>88</v>
      </c>
      <c r="I5" s="12" t="n">
        <f aca="false">Metodologia!B23</f>
        <v>6</v>
      </c>
    </row>
    <row r="6" customFormat="false" ht="36" hidden="false" customHeight="true" outlineLevel="0" collapsed="false">
      <c r="A6" s="13" t="n">
        <v>5</v>
      </c>
      <c r="B6" s="14" t="n">
        <f aca="false">COUNTIFS('Matriz de Riscos'!$D$5:$D$14,$A6,'Matriz de Riscos'!$E$5:$E$14,B$5)</f>
        <v>0</v>
      </c>
      <c r="C6" s="14" t="n">
        <f aca="false">COUNTIFS('Matriz de Riscos'!$D$5:$D$14,$A6,'Matriz de Riscos'!$E$5:$E$14,C$5)</f>
        <v>0</v>
      </c>
      <c r="D6" s="14" t="n">
        <f aca="false">COUNTIFS('Matriz de Riscos'!$D$5:$D$14,$A6,'Matriz de Riscos'!$E$5:$E$14,D$5)</f>
        <v>0</v>
      </c>
      <c r="E6" s="14" t="n">
        <f aca="false">COUNTIFS('Matriz de Riscos'!$D$5:$D$14,$A6,'Matriz de Riscos'!$E$5:$E$14,E$5)</f>
        <v>0</v>
      </c>
      <c r="F6" s="14" t="n">
        <f aca="false">COUNTIFS('Matriz de Riscos'!$D$5:$D$14,$A6,'Matriz de Riscos'!$E$5:$E$14,F$5)</f>
        <v>0</v>
      </c>
      <c r="H6" s="11" t="s">
        <v>89</v>
      </c>
      <c r="I6" s="12" t="n">
        <f aca="false">Metodologia!B24</f>
        <v>11</v>
      </c>
    </row>
    <row r="7" customFormat="false" ht="36" hidden="false" customHeight="true" outlineLevel="0" collapsed="false">
      <c r="A7" s="13" t="n">
        <v>4</v>
      </c>
      <c r="B7" s="14" t="n">
        <f aca="false">COUNTIFS('Matriz de Riscos'!$D$5:$D$14,$A7,'Matriz de Riscos'!$E$5:$E$14,B$5)</f>
        <v>0</v>
      </c>
      <c r="C7" s="14" t="n">
        <f aca="false">COUNTIFS('Matriz de Riscos'!$D$5:$D$14,$A7,'Matriz de Riscos'!$E$5:$E$14,C$5)</f>
        <v>0</v>
      </c>
      <c r="D7" s="14" t="n">
        <f aca="false">COUNTIFS('Matriz de Riscos'!$D$5:$D$14,$A7,'Matriz de Riscos'!$E$5:$E$14,D$5)</f>
        <v>0</v>
      </c>
      <c r="E7" s="14" t="n">
        <f aca="false">COUNTIFS('Matriz de Riscos'!$D$5:$D$14,$A7,'Matriz de Riscos'!$E$5:$E$14,E$5)</f>
        <v>1</v>
      </c>
      <c r="F7" s="14" t="n">
        <f aca="false">COUNTIFS('Matriz de Riscos'!$D$5:$D$14,$A7,'Matriz de Riscos'!$E$5:$E$14,F$5)</f>
        <v>1</v>
      </c>
      <c r="H7" s="11" t="s">
        <v>90</v>
      </c>
      <c r="I7" s="12" t="n">
        <f aca="false">Metodologia!B25</f>
        <v>17</v>
      </c>
    </row>
    <row r="8" customFormat="false" ht="36" hidden="false" customHeight="true" outlineLevel="0" collapsed="false">
      <c r="A8" s="13" t="n">
        <v>3</v>
      </c>
      <c r="B8" s="14" t="n">
        <f aca="false">COUNTIFS('Matriz de Riscos'!$D$5:$D$14,$A8,'Matriz de Riscos'!$E$5:$E$14,B$5)</f>
        <v>0</v>
      </c>
      <c r="C8" s="14" t="n">
        <f aca="false">COUNTIFS('Matriz de Riscos'!$D$5:$D$14,$A8,'Matriz de Riscos'!$E$5:$E$14,C$5)</f>
        <v>0</v>
      </c>
      <c r="D8" s="14" t="n">
        <f aca="false">COUNTIFS('Matriz de Riscos'!$D$5:$D$14,$A8,'Matriz de Riscos'!$E$5:$E$14,D$5)</f>
        <v>1</v>
      </c>
      <c r="E8" s="14" t="n">
        <f aca="false">COUNTIFS('Matriz de Riscos'!$D$5:$D$14,$A8,'Matriz de Riscos'!$E$5:$E$14,E$5)</f>
        <v>3</v>
      </c>
      <c r="F8" s="14" t="n">
        <f aca="false">COUNTIFS('Matriz de Riscos'!$D$5:$D$14,$A8,'Matriz de Riscos'!$E$5:$E$14,F$5)</f>
        <v>1</v>
      </c>
      <c r="H8" s="2" t="s">
        <v>91</v>
      </c>
    </row>
    <row r="9" customFormat="false" ht="36" hidden="false" customHeight="true" outlineLevel="0" collapsed="false">
      <c r="A9" s="13" t="n">
        <v>2</v>
      </c>
      <c r="B9" s="14" t="n">
        <f aca="false">COUNTIFS('Matriz de Riscos'!$D$5:$D$14,$A9,'Matriz de Riscos'!$E$5:$E$14,B$5)</f>
        <v>0</v>
      </c>
      <c r="C9" s="14" t="n">
        <f aca="false">COUNTIFS('Matriz de Riscos'!$D$5:$D$14,$A9,'Matriz de Riscos'!$E$5:$E$14,C$5)</f>
        <v>0</v>
      </c>
      <c r="D9" s="14" t="n">
        <f aca="false">COUNTIFS('Matriz de Riscos'!$D$5:$D$14,$A9,'Matriz de Riscos'!$E$5:$E$14,D$5)</f>
        <v>1</v>
      </c>
      <c r="E9" s="14" t="n">
        <f aca="false">COUNTIFS('Matriz de Riscos'!$D$5:$D$14,$A9,'Matriz de Riscos'!$E$5:$E$14,E$5)</f>
        <v>1</v>
      </c>
      <c r="F9" s="14" t="n">
        <f aca="false">COUNTIFS('Matriz de Riscos'!$D$5:$D$14,$A9,'Matriz de Riscos'!$E$5:$E$14,F$5)</f>
        <v>1</v>
      </c>
    </row>
    <row r="10" customFormat="false" ht="36" hidden="false" customHeight="true" outlineLevel="0" collapsed="false">
      <c r="A10" s="13" t="n">
        <v>1</v>
      </c>
      <c r="B10" s="14" t="n">
        <f aca="false">COUNTIFS('Matriz de Riscos'!$D$5:$D$14,$A10,'Matriz de Riscos'!$E$5:$E$14,B$5)</f>
        <v>0</v>
      </c>
      <c r="C10" s="14" t="n">
        <f aca="false">COUNTIFS('Matriz de Riscos'!$D$5:$D$14,$A10,'Matriz de Riscos'!$E$5:$E$14,C$5)</f>
        <v>0</v>
      </c>
      <c r="D10" s="14" t="n">
        <f aca="false">COUNTIFS('Matriz de Riscos'!$D$5:$D$14,$A10,'Matriz de Riscos'!$E$5:$E$14,D$5)</f>
        <v>0</v>
      </c>
      <c r="E10" s="14" t="n">
        <f aca="false">COUNTIFS('Matriz de Riscos'!$D$5:$D$14,$A10,'Matriz de Riscos'!$E$5:$E$14,E$5)</f>
        <v>0</v>
      </c>
      <c r="F10" s="14" t="n">
        <f aca="false">COUNTIFS('Matriz de Riscos'!$D$5:$D$14,$A10,'Matriz de Riscos'!$E$5:$E$14,F$5)</f>
        <v>0</v>
      </c>
    </row>
    <row r="13" customFormat="false" ht="15" hidden="false" customHeight="false" outlineLevel="0" collapsed="false">
      <c r="A13" s="9" t="s">
        <v>92</v>
      </c>
    </row>
    <row r="14" customFormat="false" ht="30" hidden="false" customHeight="true" outlineLevel="0" collapsed="false">
      <c r="A14" s="3" t="s">
        <v>87</v>
      </c>
      <c r="B14" s="3" t="n">
        <v>1</v>
      </c>
      <c r="C14" s="3" t="n">
        <v>2</v>
      </c>
      <c r="D14" s="3" t="n">
        <v>3</v>
      </c>
      <c r="E14" s="3" t="n">
        <v>4</v>
      </c>
      <c r="F14" s="3" t="n">
        <v>5</v>
      </c>
    </row>
    <row r="15" customFormat="false" ht="36" hidden="false" customHeight="true" outlineLevel="0" collapsed="false">
      <c r="A15" s="13" t="n">
        <v>5</v>
      </c>
      <c r="B15" s="14" t="n">
        <f aca="false">COUNTIFS('Matriz de Riscos'!$M$5:$M$14,$A15,'Matriz de Riscos'!$N$5:$N$14,B$14)</f>
        <v>0</v>
      </c>
      <c r="C15" s="14" t="n">
        <f aca="false">COUNTIFS('Matriz de Riscos'!$M$5:$M$14,$A15,'Matriz de Riscos'!$N$5:$N$14,C$14)</f>
        <v>0</v>
      </c>
      <c r="D15" s="14" t="n">
        <f aca="false">COUNTIFS('Matriz de Riscos'!$M$5:$M$14,$A15,'Matriz de Riscos'!$N$5:$N$14,D$14)</f>
        <v>0</v>
      </c>
      <c r="E15" s="14" t="n">
        <f aca="false">COUNTIFS('Matriz de Riscos'!$M$5:$M$14,$A15,'Matriz de Riscos'!$N$5:$N$14,E$14)</f>
        <v>0</v>
      </c>
      <c r="F15" s="14" t="n">
        <f aca="false">COUNTIFS('Matriz de Riscos'!$M$5:$M$14,$A15,'Matriz de Riscos'!$N$5:$N$14,F$14)</f>
        <v>0</v>
      </c>
    </row>
    <row r="16" customFormat="false" ht="36" hidden="false" customHeight="true" outlineLevel="0" collapsed="false">
      <c r="A16" s="13" t="n">
        <v>4</v>
      </c>
      <c r="B16" s="14" t="n">
        <f aca="false">COUNTIFS('Matriz de Riscos'!$M$5:$M$14,$A16,'Matriz de Riscos'!$N$5:$N$14,B$14)</f>
        <v>0</v>
      </c>
      <c r="C16" s="14" t="n">
        <f aca="false">COUNTIFS('Matriz de Riscos'!$M$5:$M$14,$A16,'Matriz de Riscos'!$N$5:$N$14,C$14)</f>
        <v>0</v>
      </c>
      <c r="D16" s="14" t="n">
        <f aca="false">COUNTIFS('Matriz de Riscos'!$M$5:$M$14,$A16,'Matriz de Riscos'!$N$5:$N$14,D$14)</f>
        <v>0</v>
      </c>
      <c r="E16" s="14" t="n">
        <f aca="false">COUNTIFS('Matriz de Riscos'!$M$5:$M$14,$A16,'Matriz de Riscos'!$N$5:$N$14,E$14)</f>
        <v>0</v>
      </c>
      <c r="F16" s="14" t="n">
        <f aca="false">COUNTIFS('Matriz de Riscos'!$M$5:$M$14,$A16,'Matriz de Riscos'!$N$5:$N$14,F$14)</f>
        <v>0</v>
      </c>
    </row>
    <row r="17" customFormat="false" ht="36" hidden="false" customHeight="true" outlineLevel="0" collapsed="false">
      <c r="A17" s="13" t="n">
        <v>3</v>
      </c>
      <c r="B17" s="14" t="n">
        <f aca="false">COUNTIFS('Matriz de Riscos'!$M$5:$M$14,$A17,'Matriz de Riscos'!$N$5:$N$14,B$14)</f>
        <v>1</v>
      </c>
      <c r="C17" s="14" t="n">
        <f aca="false">COUNTIFS('Matriz de Riscos'!$M$5:$M$14,$A17,'Matriz de Riscos'!$N$5:$N$14,C$14)</f>
        <v>0</v>
      </c>
      <c r="D17" s="14" t="n">
        <f aca="false">COUNTIFS('Matriz de Riscos'!$M$5:$M$14,$A17,'Matriz de Riscos'!$N$5:$N$14,D$14)</f>
        <v>0</v>
      </c>
      <c r="E17" s="14" t="n">
        <f aca="false">COUNTIFS('Matriz de Riscos'!$M$5:$M$14,$A17,'Matriz de Riscos'!$N$5:$N$14,E$14)</f>
        <v>0</v>
      </c>
      <c r="F17" s="14" t="n">
        <f aca="false">COUNTIFS('Matriz de Riscos'!$M$5:$M$14,$A17,'Matriz de Riscos'!$N$5:$N$14,F$14)</f>
        <v>0</v>
      </c>
    </row>
    <row r="18" customFormat="false" ht="36" hidden="false" customHeight="true" outlineLevel="0" collapsed="false">
      <c r="A18" s="13" t="n">
        <v>2</v>
      </c>
      <c r="B18" s="14" t="n">
        <f aca="false">COUNTIFS('Matriz de Riscos'!$M$5:$M$14,$A18,'Matriz de Riscos'!$N$5:$N$14,B$14)</f>
        <v>0</v>
      </c>
      <c r="C18" s="14" t="n">
        <f aca="false">COUNTIFS('Matriz de Riscos'!$M$5:$M$14,$A18,'Matriz de Riscos'!$N$5:$N$14,C$14)</f>
        <v>1</v>
      </c>
      <c r="D18" s="14" t="n">
        <f aca="false">COUNTIFS('Matriz de Riscos'!$M$5:$M$14,$A18,'Matriz de Riscos'!$N$5:$N$14,D$14)</f>
        <v>3</v>
      </c>
      <c r="E18" s="14" t="n">
        <f aca="false">COUNTIFS('Matriz de Riscos'!$M$5:$M$14,$A18,'Matriz de Riscos'!$N$5:$N$14,E$14)</f>
        <v>2</v>
      </c>
      <c r="F18" s="14" t="n">
        <f aca="false">COUNTIFS('Matriz de Riscos'!$M$5:$M$14,$A18,'Matriz de Riscos'!$N$5:$N$14,F$14)</f>
        <v>0</v>
      </c>
    </row>
    <row r="19" customFormat="false" ht="36" hidden="false" customHeight="true" outlineLevel="0" collapsed="false">
      <c r="A19" s="13" t="n">
        <v>1</v>
      </c>
      <c r="B19" s="14" t="n">
        <f aca="false">COUNTIFS('Matriz de Riscos'!$M$5:$M$14,$A19,'Matriz de Riscos'!$N$5:$N$14,B$14)</f>
        <v>0</v>
      </c>
      <c r="C19" s="14" t="n">
        <f aca="false">COUNTIFS('Matriz de Riscos'!$M$5:$M$14,$A19,'Matriz de Riscos'!$N$5:$N$14,C$14)</f>
        <v>1</v>
      </c>
      <c r="D19" s="14" t="n">
        <f aca="false">COUNTIFS('Matriz de Riscos'!$M$5:$M$14,$A19,'Matriz de Riscos'!$N$5:$N$14,D$14)</f>
        <v>1</v>
      </c>
      <c r="E19" s="14" t="n">
        <f aca="false">COUNTIFS('Matriz de Riscos'!$M$5:$M$14,$A19,'Matriz de Riscos'!$N$5:$N$14,E$14)</f>
        <v>1</v>
      </c>
      <c r="F19" s="14" t="n">
        <f aca="false">COUNTIFS('Matriz de Riscos'!$M$5:$M$14,$A19,'Matriz de Riscos'!$N$5:$N$14,F$14)</f>
        <v>0</v>
      </c>
    </row>
    <row r="22" customFormat="false" ht="15" hidden="false" customHeight="false" outlineLevel="0" collapsed="false">
      <c r="A22" s="9" t="s">
        <v>93</v>
      </c>
    </row>
    <row r="23" customFormat="false" ht="15" hidden="false" customHeight="false" outlineLevel="0" collapsed="false">
      <c r="A23" s="3" t="s">
        <v>94</v>
      </c>
      <c r="B23" s="3" t="s">
        <v>95</v>
      </c>
      <c r="C23" s="3" t="s">
        <v>96</v>
      </c>
    </row>
    <row r="24" customFormat="false" ht="15" hidden="false" customHeight="false" outlineLevel="0" collapsed="false">
      <c r="A24" s="15" t="s">
        <v>90</v>
      </c>
      <c r="B24" s="16" t="n">
        <f aca="false">COUNTIF('Matriz de Riscos'!$G$5:$G$14,$A24)</f>
        <v>1</v>
      </c>
      <c r="C24" s="16" t="n">
        <f aca="false">COUNTIF('Matriz de Riscos'!$P$5:$P$14,$A24)</f>
        <v>0</v>
      </c>
    </row>
    <row r="25" customFormat="false" ht="15" hidden="false" customHeight="false" outlineLevel="0" collapsed="false">
      <c r="A25" s="17" t="s">
        <v>89</v>
      </c>
      <c r="B25" s="16" t="n">
        <f aca="false">COUNTIF('Matriz de Riscos'!$G$5:$G$14,$A25)</f>
        <v>5</v>
      </c>
      <c r="C25" s="16" t="n">
        <f aca="false">COUNTIF('Matriz de Riscos'!$P$5:$P$14,$A25)</f>
        <v>0</v>
      </c>
    </row>
    <row r="26" customFormat="false" ht="15" hidden="false" customHeight="false" outlineLevel="0" collapsed="false">
      <c r="A26" s="18" t="s">
        <v>88</v>
      </c>
      <c r="B26" s="16" t="n">
        <f aca="false">COUNTIF('Matriz de Riscos'!$G$5:$G$14,$A26)</f>
        <v>4</v>
      </c>
      <c r="C26" s="16" t="n">
        <f aca="false">COUNTIF('Matriz de Riscos'!$P$5:$P$14,$A26)</f>
        <v>5</v>
      </c>
    </row>
    <row r="27" customFormat="false" ht="15" hidden="false" customHeight="false" outlineLevel="0" collapsed="false">
      <c r="A27" s="19" t="s">
        <v>97</v>
      </c>
      <c r="B27" s="16" t="n">
        <f aca="false">COUNTIF('Matriz de Riscos'!$G$5:$G$14,$A27)</f>
        <v>0</v>
      </c>
      <c r="C27" s="16" t="n">
        <f aca="false">COUNTIF('Matriz de Riscos'!$P$5:$P$14,$A27)</f>
        <v>5</v>
      </c>
    </row>
    <row r="28" customFormat="false" ht="15" hidden="false" customHeight="false" outlineLevel="0" collapsed="false">
      <c r="A28" s="13" t="s">
        <v>98</v>
      </c>
      <c r="B28" s="13" t="n">
        <f aca="false">SUM(B24:B27)</f>
        <v>10</v>
      </c>
      <c r="C28" s="13" t="n">
        <f aca="false">SUM(C24:C27)</f>
        <v>10</v>
      </c>
    </row>
    <row r="30" customFormat="false" ht="15" hidden="false" customHeight="false" outlineLevel="0" collapsed="false">
      <c r="A30" s="20" t="s">
        <v>99</v>
      </c>
      <c r="B30" s="21" t="n">
        <f aca="false">AVERAGE('Matriz de Riscos'!$F$5:$F$14)</f>
        <v>12</v>
      </c>
      <c r="C30" s="21" t="n">
        <f aca="false">AVERAGE('Matriz de Riscos'!$O$5:$O$14)</f>
        <v>5</v>
      </c>
    </row>
    <row r="31" customFormat="false" ht="15" hidden="false" customHeight="false" outlineLevel="0" collapsed="false">
      <c r="A31" s="20" t="s">
        <v>100</v>
      </c>
      <c r="B31" s="16"/>
      <c r="C31" s="22" t="n">
        <f aca="false">IF(B30=0,0,1-C30/B30)</f>
        <v>0.583333333333333</v>
      </c>
    </row>
  </sheetData>
  <conditionalFormatting sqref="B6:F10">
    <cfRule type="expression" priority="2" aboveAverage="0" equalAverage="0" bottom="0" percent="0" rank="0" text="" dxfId="9">
      <formula>$A6*B$5&gt;=$I$7</formula>
    </cfRule>
    <cfRule type="expression" priority="3" aboveAverage="0" equalAverage="0" bottom="0" percent="0" rank="0" text="" dxfId="13">
      <formula>$A6*B$5&gt;=$I$6</formula>
    </cfRule>
    <cfRule type="expression" priority="4" aboveAverage="0" equalAverage="0" bottom="0" percent="0" rank="0" text="" dxfId="14">
      <formula>$A6*B$5&gt;=$I$5</formula>
    </cfRule>
    <cfRule type="expression" priority="5" aboveAverage="0" equalAverage="0" bottom="0" percent="0" rank="0" text="" dxfId="15">
      <formula>$A6*B$5&gt;=1</formula>
    </cfRule>
  </conditionalFormatting>
  <conditionalFormatting sqref="B15:F19">
    <cfRule type="expression" priority="6" aboveAverage="0" equalAverage="0" bottom="0" percent="0" rank="0" text="" dxfId="9">
      <formula>$A15*B$14&gt;=$I$7</formula>
    </cfRule>
    <cfRule type="expression" priority="7" aboveAverage="0" equalAverage="0" bottom="0" percent="0" rank="0" text="" dxfId="13">
      <formula>$A15*B$14&gt;=$I$6</formula>
    </cfRule>
    <cfRule type="expression" priority="8" aboveAverage="0" equalAverage="0" bottom="0" percent="0" rank="0" text="" dxfId="14">
      <formula>$A15*B$14&gt;=$I$5</formula>
    </cfRule>
    <cfRule type="expression" priority="9" aboveAverage="0" equalAverage="0" bottom="0" percent="0" rank="0" text="" dxfId="15">
      <formula>$A15*B$14&gt;=1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8"/>
    <col collapsed="false" customWidth="true" hidden="false" outlineLevel="0" max="4" min="3" style="0" width="60"/>
  </cols>
  <sheetData>
    <row r="1" customFormat="false" ht="17.35" hidden="false" customHeight="false" outlineLevel="0" collapsed="false">
      <c r="A1" s="1" t="s">
        <v>101</v>
      </c>
    </row>
    <row r="2" customFormat="false" ht="15" hidden="false" customHeight="false" outlineLevel="0" collapsed="false">
      <c r="A2" s="2" t="s">
        <v>102</v>
      </c>
    </row>
    <row r="4" customFormat="false" ht="15" hidden="false" customHeight="false" outlineLevel="0" collapsed="false">
      <c r="A4" s="9" t="s">
        <v>103</v>
      </c>
    </row>
    <row r="5" customFormat="false" ht="15" hidden="false" customHeight="false" outlineLevel="0" collapsed="false">
      <c r="A5" s="3" t="s">
        <v>104</v>
      </c>
      <c r="B5" s="3" t="s">
        <v>105</v>
      </c>
      <c r="C5" s="3" t="s">
        <v>106</v>
      </c>
    </row>
    <row r="6" customFormat="false" ht="23.85" hidden="false" customHeight="false" outlineLevel="0" collapsed="false">
      <c r="A6" s="16" t="n">
        <v>1</v>
      </c>
      <c r="B6" s="23" t="s">
        <v>107</v>
      </c>
      <c r="C6" s="23" t="s">
        <v>108</v>
      </c>
    </row>
    <row r="7" customFormat="false" ht="15" hidden="false" customHeight="false" outlineLevel="0" collapsed="false">
      <c r="A7" s="16" t="n">
        <v>2</v>
      </c>
      <c r="B7" s="23" t="s">
        <v>109</v>
      </c>
      <c r="C7" s="23" t="s">
        <v>110</v>
      </c>
    </row>
    <row r="8" customFormat="false" ht="15" hidden="false" customHeight="false" outlineLevel="0" collapsed="false">
      <c r="A8" s="16" t="n">
        <v>3</v>
      </c>
      <c r="B8" s="23" t="s">
        <v>111</v>
      </c>
      <c r="C8" s="23" t="s">
        <v>112</v>
      </c>
    </row>
    <row r="9" customFormat="false" ht="15" hidden="false" customHeight="false" outlineLevel="0" collapsed="false">
      <c r="A9" s="16" t="n">
        <v>4</v>
      </c>
      <c r="B9" s="23" t="s">
        <v>113</v>
      </c>
      <c r="C9" s="23" t="s">
        <v>114</v>
      </c>
    </row>
    <row r="10" customFormat="false" ht="15" hidden="false" customHeight="false" outlineLevel="0" collapsed="false">
      <c r="A10" s="16" t="n">
        <v>5</v>
      </c>
      <c r="B10" s="23" t="s">
        <v>115</v>
      </c>
      <c r="C10" s="23" t="s">
        <v>116</v>
      </c>
    </row>
    <row r="12" customFormat="false" ht="15" hidden="false" customHeight="false" outlineLevel="0" collapsed="false">
      <c r="A12" s="9" t="s">
        <v>117</v>
      </c>
    </row>
    <row r="13" customFormat="false" ht="15" hidden="false" customHeight="false" outlineLevel="0" collapsed="false">
      <c r="A13" s="3" t="s">
        <v>104</v>
      </c>
      <c r="B13" s="3" t="s">
        <v>105</v>
      </c>
      <c r="C13" s="3" t="s">
        <v>106</v>
      </c>
    </row>
    <row r="14" customFormat="false" ht="15" hidden="false" customHeight="false" outlineLevel="0" collapsed="false">
      <c r="A14" s="16" t="n">
        <v>1</v>
      </c>
      <c r="B14" s="23" t="s">
        <v>118</v>
      </c>
      <c r="C14" s="23" t="s">
        <v>119</v>
      </c>
    </row>
    <row r="15" customFormat="false" ht="15" hidden="false" customHeight="false" outlineLevel="0" collapsed="false">
      <c r="A15" s="16" t="n">
        <v>2</v>
      </c>
      <c r="B15" s="23" t="s">
        <v>120</v>
      </c>
      <c r="C15" s="23" t="s">
        <v>121</v>
      </c>
    </row>
    <row r="16" customFormat="false" ht="23.85" hidden="false" customHeight="false" outlineLevel="0" collapsed="false">
      <c r="A16" s="16" t="n">
        <v>3</v>
      </c>
      <c r="B16" s="23" t="s">
        <v>122</v>
      </c>
      <c r="C16" s="23" t="s">
        <v>123</v>
      </c>
    </row>
    <row r="17" customFormat="false" ht="23.85" hidden="false" customHeight="false" outlineLevel="0" collapsed="false">
      <c r="A17" s="16" t="n">
        <v>4</v>
      </c>
      <c r="B17" s="23" t="s">
        <v>124</v>
      </c>
      <c r="C17" s="23" t="s">
        <v>125</v>
      </c>
    </row>
    <row r="18" customFormat="false" ht="23.85" hidden="false" customHeight="false" outlineLevel="0" collapsed="false">
      <c r="A18" s="16" t="n">
        <v>5</v>
      </c>
      <c r="B18" s="23" t="s">
        <v>126</v>
      </c>
      <c r="C18" s="23" t="s">
        <v>127</v>
      </c>
    </row>
    <row r="20" customFormat="false" ht="15" hidden="false" customHeight="false" outlineLevel="0" collapsed="false">
      <c r="A20" s="9" t="s">
        <v>128</v>
      </c>
    </row>
    <row r="21" customFormat="false" ht="15" hidden="false" customHeight="false" outlineLevel="0" collapsed="false">
      <c r="A21" s="3" t="s">
        <v>94</v>
      </c>
      <c r="B21" s="3" t="s">
        <v>129</v>
      </c>
      <c r="C21" s="3" t="s">
        <v>130</v>
      </c>
      <c r="D21" s="3" t="s">
        <v>131</v>
      </c>
    </row>
    <row r="22" customFormat="false" ht="15" hidden="false" customHeight="false" outlineLevel="0" collapsed="false">
      <c r="A22" s="24" t="s">
        <v>97</v>
      </c>
      <c r="B22" s="6" t="n">
        <v>1</v>
      </c>
      <c r="C22" s="16" t="n">
        <f aca="false">B23-1</f>
        <v>5</v>
      </c>
      <c r="D22" s="23" t="s">
        <v>132</v>
      </c>
    </row>
    <row r="23" customFormat="false" ht="15" hidden="false" customHeight="false" outlineLevel="0" collapsed="false">
      <c r="A23" s="25" t="s">
        <v>88</v>
      </c>
      <c r="B23" s="6" t="n">
        <v>6</v>
      </c>
      <c r="C23" s="16" t="n">
        <f aca="false">B24-1</f>
        <v>10</v>
      </c>
      <c r="D23" s="23" t="s">
        <v>133</v>
      </c>
    </row>
    <row r="24" customFormat="false" ht="15" hidden="false" customHeight="false" outlineLevel="0" collapsed="false">
      <c r="A24" s="26" t="s">
        <v>89</v>
      </c>
      <c r="B24" s="6" t="n">
        <v>11</v>
      </c>
      <c r="C24" s="16" t="n">
        <f aca="false">B25-1</f>
        <v>16</v>
      </c>
      <c r="D24" s="23" t="s">
        <v>134</v>
      </c>
    </row>
    <row r="25" customFormat="false" ht="15" hidden="false" customHeight="false" outlineLevel="0" collapsed="false">
      <c r="A25" s="27" t="s">
        <v>90</v>
      </c>
      <c r="B25" s="6" t="n">
        <v>17</v>
      </c>
      <c r="C25" s="16" t="n">
        <f aca="false">5*5</f>
        <v>25</v>
      </c>
      <c r="D25" s="23" t="s">
        <v>135</v>
      </c>
    </row>
    <row r="26" customFormat="false" ht="15" hidden="false" customHeight="false" outlineLevel="0" collapsed="false">
      <c r="A26" s="2" t="s">
        <v>136</v>
      </c>
    </row>
    <row r="28" customFormat="false" ht="15" hidden="false" customHeight="false" outlineLevel="0" collapsed="false">
      <c r="A28" s="9" t="s">
        <v>137</v>
      </c>
    </row>
    <row r="29" customFormat="false" ht="15" hidden="false" customHeight="false" outlineLevel="0" collapsed="false">
      <c r="A29" s="3" t="s">
        <v>9</v>
      </c>
      <c r="B29" s="3" t="s">
        <v>138</v>
      </c>
    </row>
    <row r="30" customFormat="false" ht="46.25" hidden="false" customHeight="false" outlineLevel="0" collapsed="false">
      <c r="A30" s="28" t="s">
        <v>21</v>
      </c>
      <c r="B30" s="23" t="s">
        <v>139</v>
      </c>
    </row>
    <row r="31" customFormat="false" ht="57.45" hidden="false" customHeight="false" outlineLevel="0" collapsed="false">
      <c r="A31" s="28" t="s">
        <v>140</v>
      </c>
      <c r="B31" s="23" t="s">
        <v>141</v>
      </c>
    </row>
    <row r="32" customFormat="false" ht="46.25" hidden="false" customHeight="false" outlineLevel="0" collapsed="false">
      <c r="A32" s="28" t="s">
        <v>61</v>
      </c>
      <c r="B32" s="23" t="s">
        <v>142</v>
      </c>
    </row>
    <row r="33" customFormat="false" ht="35.05" hidden="false" customHeight="false" outlineLevel="0" collapsed="false">
      <c r="A33" s="28" t="s">
        <v>143</v>
      </c>
      <c r="B33" s="23" t="s">
        <v>144</v>
      </c>
    </row>
    <row r="35" customFormat="false" ht="15" hidden="false" customHeight="false" outlineLevel="0" collapsed="false">
      <c r="A35" s="9" t="s">
        <v>145</v>
      </c>
    </row>
    <row r="36" customFormat="false" ht="15" hidden="false" customHeight="false" outlineLevel="0" collapsed="false">
      <c r="A36" s="29" t="s">
        <v>146</v>
      </c>
    </row>
    <row r="37" customFormat="false" ht="15" hidden="false" customHeight="false" outlineLevel="0" collapsed="false">
      <c r="A37" s="29" t="s">
        <v>147</v>
      </c>
    </row>
    <row r="38" customFormat="false" ht="15" hidden="false" customHeight="false" outlineLevel="0" collapsed="false">
      <c r="A38" s="29" t="s">
        <v>148</v>
      </c>
    </row>
    <row r="39" customFormat="false" ht="15" hidden="false" customHeight="false" outlineLevel="0" collapsed="false">
      <c r="A39" s="29" t="s">
        <v>149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2026-10-08T19:07:32Z</dcterms:created>
  <dc:creator>openpyxl</dc:creator>
  <dc:description/>
  <dc:language>en-US</dc:language>
  <cp:lastModifiedBy/>
  <dcterms:modified xsi:type="dcterms:W3CDTF">2026-10-08T19:07:32Z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