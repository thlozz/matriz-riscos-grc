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scos" sheetId="1" r:id="rId5"/>
    <sheet state="visible" name="Mapa de Calor" sheetId="2" r:id="rId6"/>
    <sheet state="visible" name="Metodologia" sheetId="3" r:id="rId7"/>
  </sheets>
  <definedNames>
    <definedName hidden="1" localSheetId="0" name="_xlnm._FilterDatabase">'Matriz de Riscos'!$A$4:$P$14</definedName>
  </definedNames>
  <calcPr/>
</workbook>
</file>

<file path=xl/sharedStrings.xml><?xml version="1.0" encoding="utf-8"?>
<sst xmlns="http://schemas.openxmlformats.org/spreadsheetml/2006/main" count="175" uniqueCount="148">
  <si>
    <t>Matriz de Riscos de Segurança da Informação — Clínica/Hospital (empresa fictícia)</t>
  </si>
  <si>
    <t>Dados fictícios. Escalas e critérios na aba Metodologia. Texto azul = entrada editável; preto = fórmula. Residual = estimativa após os controles.</t>
  </si>
  <si>
    <t>ID</t>
  </si>
  <si>
    <t>Descrição do Risco</t>
  </si>
  <si>
    <t>Categoria</t>
  </si>
  <si>
    <t>Probabilidade (1-5)</t>
  </si>
  <si>
    <t>Impacto (1-5)</t>
  </si>
  <si>
    <t>Nível de Risco</t>
  </si>
  <si>
    <t>Grau de Risco</t>
  </si>
  <si>
    <t>Tratamento</t>
  </si>
  <si>
    <t>Controle Sugerido (Mitigação)</t>
  </si>
  <si>
    <t>Ref. ISO 27001:2022 (Anexo A)</t>
  </si>
  <si>
    <t>Responsável</t>
  </si>
  <si>
    <t>Status do Controle</t>
  </si>
  <si>
    <t>Prob. Residual (1-5)</t>
  </si>
  <si>
    <t>Impacto Residual (1-5)</t>
  </si>
  <si>
    <t>Nível Residual</t>
  </si>
  <si>
    <t>Grau Residual</t>
  </si>
  <si>
    <t>R-01</t>
  </si>
  <si>
    <t>Acesso indevido a prontuário eletrônico de paciente (Vazamento de dados LGPD)</t>
  </si>
  <si>
    <t>Privacidade / Confidencialidade</t>
  </si>
  <si>
    <t>Mitigar</t>
  </si>
  <si>
    <t>Implementar RBAC (Controle de Acesso Baseado em Papéis), MFA e auditoria contínua em logs de acesso.</t>
  </si>
  <si>
    <t>A.5.15, A.5.18, A.8.5, A.8.15, A.5.34</t>
  </si>
  <si>
    <t>DPO / Equipe de IAM</t>
  </si>
  <si>
    <t>Planejado</t>
  </si>
  <si>
    <t>R-02</t>
  </si>
  <si>
    <t>Falha ou corrupção no backup de banco de dados crítico</t>
  </si>
  <si>
    <t>Continuidade de Negócios</t>
  </si>
  <si>
    <t>Implementar política de backup automático com regra 3-2-1 e testes periódicos de restauração (Restore).</t>
  </si>
  <si>
    <t>A.8.13, A.5.30</t>
  </si>
  <si>
    <t>SysAdmin / Infraestrutura</t>
  </si>
  <si>
    <t>Implementado</t>
  </si>
  <si>
    <t>R-03</t>
  </si>
  <si>
    <t>Infecção por Ransomware através de ataque de Phishing contra colaboradores</t>
  </si>
  <si>
    <t>Segurança Operacional</t>
  </si>
  <si>
    <t>Implementar EDR nas estações, filtro de e-mail avançado (Anti-phishing) e programa de conscientização de usuários.</t>
  </si>
  <si>
    <t>A.8.7, A.6.3, A.8.16</t>
  </si>
  <si>
    <t>Analista de SOC / CISO</t>
  </si>
  <si>
    <t>R-04</t>
  </si>
  <si>
    <t>Uso de credenciais fracas ou reutilizadas por usuários administrativos</t>
  </si>
  <si>
    <t>Identidade e Acesso</t>
  </si>
  <si>
    <t>Implementar Gerenciador de Senhas corporativo, política de complexidade e obrigação de MFA em todas as contas.</t>
  </si>
  <si>
    <t>A.5.17, A.8.5, A.8.2</t>
  </si>
  <si>
    <t>Segurança da Informação</t>
  </si>
  <si>
    <t>Em andamento</t>
  </si>
  <si>
    <t>R-05</t>
  </si>
  <si>
    <t>Servidor web exposto com vulnerabilidades conhecidas e sem patch aplicado</t>
  </si>
  <si>
    <t>Gestão de Vulnerabilidades</t>
  </si>
  <si>
    <t>Estabelecer rotina quinzenal de Gestão de Vulnerabilidades (Patch Management) e varreduras com scanners de segurança.</t>
  </si>
  <si>
    <t>A.8.8</t>
  </si>
  <si>
    <t>Engenharia de DevSecOps</t>
  </si>
  <si>
    <t>R-06</t>
  </si>
  <si>
    <t>Vazamento de código-fonte contendo chaves de API/segredos em repositório público</t>
  </si>
  <si>
    <t>Desenvolvimento Seguro</t>
  </si>
  <si>
    <t>Integrar ferramentas SAST/Secret Scanning na pipeline CI/CD e utilizar cofre de segredos (Secret Manager).</t>
  </si>
  <si>
    <t>A.8.4, A.8.28, A.5.17</t>
  </si>
  <si>
    <t>Liderança de Desenvolvimento / DevSecOps</t>
  </si>
  <si>
    <t>R-07</t>
  </si>
  <si>
    <t>Interrupção do serviço devido a ataque de Negação de Serviço (DDoS)</t>
  </si>
  <si>
    <t>Disponibilidade</t>
  </si>
  <si>
    <t>Transferir</t>
  </si>
  <si>
    <t>Contratar proteção contra DDoS na camada de rede/CDN (Cloudflare, AWS Shield) e regras de Rate Limiting.</t>
  </si>
  <si>
    <t>A.8.20, A.8.14</t>
  </si>
  <si>
    <t>Infraestrutura / Redes</t>
  </si>
  <si>
    <t>R-08</t>
  </si>
  <si>
    <t>Descarte inadequado de equipamentos ou mídias físicas contendo dados confidenciais</t>
  </si>
  <si>
    <t>Segurança Física</t>
  </si>
  <si>
    <t>Criar procedimento formal de sanitização e destruição segura de mídias (NIST SP 800-88) com emissão de laudo.</t>
  </si>
  <si>
    <t>A.7.14, A.7.10, A.8.10</t>
  </si>
  <si>
    <t>Segurança Física e IT Asset Management</t>
  </si>
  <si>
    <t>R-09</t>
  </si>
  <si>
    <t>Não conformidade técnica/privacidade em fornecedor ou prestador de serviço de TI</t>
  </si>
  <si>
    <t>Risco de Terceiros</t>
  </si>
  <si>
    <t>Realizar Due Diligence de Segurança/Privacidade na homologação e incluir cláusulas contratuais de GRC e SLA.</t>
  </si>
  <si>
    <t>A.5.19, A.5.20, A.5.22</t>
  </si>
  <si>
    <t>Analista de GRC / Jurídico</t>
  </si>
  <si>
    <t>R-10</t>
  </si>
  <si>
    <t>Perda de dispositivo móvel corporativo (Notebook/Smartphone) sem criptografia de disco</t>
  </si>
  <si>
    <t>Segurança de Endpoint</t>
  </si>
  <si>
    <t>Habilitar criptografia de disco total (BitLocker/FileVault) e MDM com capacidade de bloqueio/wipe remoto.</t>
  </si>
  <si>
    <t>A.8.1, A.8.24, A.7.9</t>
  </si>
  <si>
    <t>Suporte de TI / Endpoint Security</t>
  </si>
  <si>
    <t>Mapa de Calor de Riscos (5×5)</t>
  </si>
  <si>
    <t>Cada célula mostra quantos riscos caem naquela combinação de Probabilidade (linhas) × Impacto (colunas). Cores seguem os limites da aba Metodologia.</t>
  </si>
  <si>
    <t>Risco Inerente (antes dos controles)</t>
  </si>
  <si>
    <t>Prob. ↓ / Impacto →</t>
  </si>
  <si>
    <t>Risco Residual (após os controles sugeridos)</t>
  </si>
  <si>
    <t>Resumo por Grau de Risco</t>
  </si>
  <si>
    <t>Grau</t>
  </si>
  <si>
    <t>Inerente</t>
  </si>
  <si>
    <t>Residual</t>
  </si>
  <si>
    <t>Crítico</t>
  </si>
  <si>
    <t>Alto</t>
  </si>
  <si>
    <t>Médio</t>
  </si>
  <si>
    <t>Baixo</t>
  </si>
  <si>
    <t>Total</t>
  </si>
  <si>
    <t>Nível médio de risco</t>
  </si>
  <si>
    <t>Redução média do nível</t>
  </si>
  <si>
    <t>Metodologia de Avaliação de Riscos</t>
  </si>
  <si>
    <t>Projeto de portfólio com empresa fictícia (clínica/hospital). Todos os dados são inventados. Inspirado nos conceitos da ISO/IEC 27005 e nos controles do Anexo A da ISO/IEC 27001:2022.</t>
  </si>
  <si>
    <t>1. Escala de Probabilidade</t>
  </si>
  <si>
    <t>Nível</t>
  </si>
  <si>
    <t>Classificação</t>
  </si>
  <si>
    <t>Descrição</t>
  </si>
  <si>
    <t>Raro</t>
  </si>
  <si>
    <t>Pode ocorrer apenas em circunstâncias excepcionais (menos de 1 vez a cada 5 anos)</t>
  </si>
  <si>
    <t>Improvável</t>
  </si>
  <si>
    <t>Pouco provável de ocorrer (cerca de 1 vez a cada 2-5 anos)</t>
  </si>
  <si>
    <t>Possível</t>
  </si>
  <si>
    <t>Pode ocorrer em algum momento (cerca de 1 vez por ano)</t>
  </si>
  <si>
    <t>Provável</t>
  </si>
  <si>
    <t>Deve ocorrer várias vezes (algumas vezes por ano)</t>
  </si>
  <si>
    <t>Quase certo</t>
  </si>
  <si>
    <t>Ocorre com frequência ou é esperado (mensal ou mais)</t>
  </si>
  <si>
    <t>2. Escala de Impacto</t>
  </si>
  <si>
    <t>Insignificante</t>
  </si>
  <si>
    <t>Sem efeito relevante nas operações, nos dados ou na reputação</t>
  </si>
  <si>
    <t>Menor</t>
  </si>
  <si>
    <t>Interrupção breve ou exposição limitada, resolvida internamente</t>
  </si>
  <si>
    <t>Moderado</t>
  </si>
  <si>
    <t>Impacto operacional ou financeiro perceptível; pode exigir comunicação interna</t>
  </si>
  <si>
    <t>Grave</t>
  </si>
  <si>
    <t>Perda significativa de dados/serviço, risco de sanção regulatória (ex.: LGPD) ou dano à reputação</t>
  </si>
  <si>
    <t>Catastrófico</t>
  </si>
  <si>
    <t>Impacto em pacientes, vazamento em massa de dados sensíveis ou paralisação prolongada</t>
  </si>
  <si>
    <t>3. Classificação do Nível de Risco  (Nível = Probabilidade × Impacto)</t>
  </si>
  <si>
    <t>Nível mínimo</t>
  </si>
  <si>
    <t>Nível máximo</t>
  </si>
  <si>
    <t>Resposta esperada</t>
  </si>
  <si>
    <t>Aceitar e monitorar. Nenhuma ação imediata.</t>
  </si>
  <si>
    <t>Tratar dentro do ciclo normal de planejamento (ex.: 6 meses).</t>
  </si>
  <si>
    <t>Plano de ação com responsável e prazo definidos (ex.: 90 dias).</t>
  </si>
  <si>
    <t>Ação imediata e acompanhamento direto da diretoria/CISO.</t>
  </si>
  <si>
    <t>Os níveis mínimos (células azuis) podem ser alterados; Grau, mapa de calor e resumo recalculam sozinhos.</t>
  </si>
  <si>
    <t>4. Opções de Tratamento do Risco</t>
  </si>
  <si>
    <t>Significado</t>
  </si>
  <si>
    <t>Reduzir probabilidade e/ou impacto com controles.</t>
  </si>
  <si>
    <t>Aceitar</t>
  </si>
  <si>
    <t>Aceitar formalmente o risco, sem controles adicionais (decisão documentada).</t>
  </si>
  <si>
    <t>Compartilhar o risco com terceiros (seguro, contrato, serviço gerenciado).</t>
  </si>
  <si>
    <t>Evitar</t>
  </si>
  <si>
    <t>Eliminar a atividade ou condição que gera o risco.</t>
  </si>
  <si>
    <t>5. Legenda e premissas</t>
  </si>
  <si>
    <t>Texto azul = valor editável (entrada). Texto preto = fórmula (não editar).</t>
  </si>
  <si>
    <t>Risco inerente = antes dos controles. Risco residual = estimativa após a implementação dos controles sugeridos.</t>
  </si>
  <si>
    <t>Os valores de probabilidade, impacto e residual são estimativas fictícias, criadas para fins de estudo e portfólio.</t>
  </si>
  <si>
    <t>Referências ao Anexo A seguem a numeração da ISO/IEC 27001:2022 (ex.: A.8.13 = Backup de informações).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</si>
</sst>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;\-0;"/>
    <numFmt numFmtId="165" formatCode="0.0"/>
    <numFmt numFmtId="166" formatCode="0.0%"/>
  </numFmts>
  <fonts count="11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10.0"/>
      <color rgb="FF595959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1.0"/>
      <color rgb="FF1F3864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FFD966"/>
        <bgColor rgb="FFFFD966"/>
      </patternFill>
    </fill>
    <fill>
      <patternFill patternType="solid">
        <fgColor rgb="FFA9D08E"/>
        <bgColor rgb="FFA9D08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horizontal="center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shrinkToFit="0" vertical="bottom" wrapText="0"/>
    </xf>
    <xf borderId="1" fillId="0" fontId="10" numFmtId="165" xfId="0" applyAlignment="1" applyBorder="1" applyFont="1" applyNumberFormat="1">
      <alignment horizontal="center" shrinkToFit="0" vertical="center" wrapText="1"/>
    </xf>
    <xf borderId="1" fillId="0" fontId="10" numFmtId="166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7" fontId="8" numFmtId="0" xfId="0" applyAlignment="1" applyBorder="1" applyFill="1" applyFont="1">
      <alignment shrinkToFit="0" vertical="center" wrapText="1"/>
    </xf>
    <xf borderId="1" fillId="6" fontId="8" numFmtId="0" xfId="0" applyAlignment="1" applyBorder="1" applyFill="1" applyFont="1">
      <alignment shrinkToFit="0" vertical="center" wrapText="1"/>
    </xf>
    <xf borderId="1" fillId="5" fontId="8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>
        <b/>
        <color rgb="FFFFFFFF"/>
        <name val="Arial"/>
      </font>
      <fill>
        <patternFill patternType="solid">
          <fgColor rgb="FFC00000"/>
          <bgColor rgb="FFC00000"/>
        </patternFill>
      </fill>
      <border/>
    </dxf>
    <dxf>
      <font>
        <b/>
        <name val="Arial"/>
      </font>
      <fill>
        <patternFill patternType="solid">
          <fgColor rgb="FFED7D31"/>
          <bgColor rgb="FFED7D31"/>
        </patternFill>
      </fill>
      <border/>
    </dxf>
    <dxf>
      <font>
        <b/>
        <name val="Arial"/>
      </font>
      <fill>
        <patternFill patternType="solid">
          <fgColor rgb="FFFFD966"/>
          <bgColor rgb="FFFFD966"/>
        </patternFill>
      </fill>
      <border/>
    </dxf>
    <dxf>
      <font>
        <b/>
        <name val="Arial"/>
      </font>
      <fill>
        <patternFill patternType="solid">
          <fgColor rgb="FFA9D08E"/>
          <bgColor rgb="FFA9D08E"/>
        </patternFill>
      </fill>
      <border/>
    </dxf>
    <dxf>
      <font/>
      <fill>
        <patternFill patternType="solid">
          <fgColor rgb="FFA9D08E"/>
          <bgColor rgb="FFA9D08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9.0" ySplit="4.0" topLeftCell="T5" activePane="bottomRight" state="frozen"/>
      <selection activeCell="T1" sqref="T1" pane="topRight"/>
      <selection activeCell="A5" sqref="A5" pane="bottomLeft"/>
      <selection activeCell="T5" sqref="T5" pane="bottomRight"/>
    </sheetView>
  </sheetViews>
  <sheetFormatPr customHeight="1" defaultColWidth="14.43" defaultRowHeight="15.0"/>
  <cols>
    <col customWidth="1" min="1" max="1" width="7.0"/>
    <col customWidth="1" min="2" max="2" width="42.0"/>
    <col customWidth="1" min="3" max="3" width="22.0"/>
    <col customWidth="1" min="4" max="4" width="13.0"/>
    <col customWidth="1" min="5" max="5" width="11.0"/>
    <col customWidth="1" min="6" max="6" width="10.0"/>
    <col customWidth="1" min="7" max="7" width="11.0"/>
    <col customWidth="1" min="8" max="8" width="12.0"/>
    <col customWidth="1" min="9" max="9" width="48.0"/>
    <col customWidth="1" min="10" max="10" width="22.0"/>
    <col customWidth="1" min="11" max="11" width="24.0"/>
    <col customWidth="1" min="12" max="12" width="14.0"/>
    <col customWidth="1" min="13" max="14" width="12.0"/>
    <col customWidth="1" min="15" max="16" width="11.0"/>
    <col customWidth="1" min="17" max="26" width="8.71"/>
  </cols>
  <sheetData>
    <row r="1">
      <c r="A1" s="1" t="s">
        <v>0</v>
      </c>
    </row>
    <row r="2">
      <c r="A2" s="2" t="s">
        <v>1</v>
      </c>
    </row>
    <row r="4" ht="42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ht="57.75" customHeight="1">
      <c r="A5" s="4" t="s">
        <v>18</v>
      </c>
      <c r="B5" s="5" t="s">
        <v>19</v>
      </c>
      <c r="C5" s="5" t="s">
        <v>20</v>
      </c>
      <c r="D5" s="6">
        <v>3.0</v>
      </c>
      <c r="E5" s="6">
        <v>5.0</v>
      </c>
      <c r="F5" s="7">
        <f t="shared" ref="F5:F14" si="1">D5*E5</f>
        <v>15</v>
      </c>
      <c r="G5" s="7" t="str">
        <f>IF(F5&gt;=Metodologia!$B$25,"Crítico",IF(F5&gt;=Metodologia!$B$24,"Alto",IF(F5&gt;=Metodologia!$B$23,"Médio","Baixo")))</f>
        <v>Alto</v>
      </c>
      <c r="H5" s="6" t="s">
        <v>21</v>
      </c>
      <c r="I5" s="5" t="s">
        <v>22</v>
      </c>
      <c r="J5" s="7" t="s">
        <v>23</v>
      </c>
      <c r="K5" s="5" t="s">
        <v>24</v>
      </c>
      <c r="L5" s="6" t="s">
        <v>25</v>
      </c>
      <c r="M5" s="6">
        <v>2.0</v>
      </c>
      <c r="N5" s="6">
        <v>4.0</v>
      </c>
      <c r="O5" s="7">
        <f t="shared" ref="O5:O14" si="2">M5*N5</f>
        <v>8</v>
      </c>
      <c r="P5" s="7" t="str">
        <f>IF(O5&gt;=Metodologia!$B$25,"Crítico",IF(O5&gt;=Metodologia!$B$24,"Alto",IF(O5&gt;=Metodologia!$B$23,"Médio","Baixo")))</f>
        <v>Médio</v>
      </c>
    </row>
    <row r="6" ht="57.75" customHeight="1">
      <c r="A6" s="4" t="s">
        <v>26</v>
      </c>
      <c r="B6" s="5" t="s">
        <v>27</v>
      </c>
      <c r="C6" s="5" t="s">
        <v>28</v>
      </c>
      <c r="D6" s="6">
        <v>2.0</v>
      </c>
      <c r="E6" s="6">
        <v>5.0</v>
      </c>
      <c r="F6" s="7">
        <f t="shared" si="1"/>
        <v>10</v>
      </c>
      <c r="G6" s="7" t="str">
        <f>IF(F6&gt;=Metodologia!$B$25,"Crítico",IF(F6&gt;=Metodologia!$B$24,"Alto",IF(F6&gt;=Metodologia!$B$23,"Médio","Baixo")))</f>
        <v>Médio</v>
      </c>
      <c r="H6" s="6" t="s">
        <v>21</v>
      </c>
      <c r="I6" s="5" t="s">
        <v>29</v>
      </c>
      <c r="J6" s="7" t="s">
        <v>30</v>
      </c>
      <c r="K6" s="5" t="s">
        <v>31</v>
      </c>
      <c r="L6" s="6" t="s">
        <v>32</v>
      </c>
      <c r="M6" s="6">
        <v>1.0</v>
      </c>
      <c r="N6" s="6">
        <v>4.0</v>
      </c>
      <c r="O6" s="7">
        <f t="shared" si="2"/>
        <v>4</v>
      </c>
      <c r="P6" s="7" t="str">
        <f>IF(O6&gt;=Metodologia!$B$25,"Crítico",IF(O6&gt;=Metodologia!$B$24,"Alto",IF(O6&gt;=Metodologia!$B$23,"Médio","Baixo")))</f>
        <v>Baixo</v>
      </c>
    </row>
    <row r="7" ht="57.75" customHeight="1">
      <c r="A7" s="4" t="s">
        <v>33</v>
      </c>
      <c r="B7" s="5" t="s">
        <v>34</v>
      </c>
      <c r="C7" s="5" t="s">
        <v>35</v>
      </c>
      <c r="D7" s="6">
        <v>4.0</v>
      </c>
      <c r="E7" s="6">
        <v>5.0</v>
      </c>
      <c r="F7" s="7">
        <f t="shared" si="1"/>
        <v>20</v>
      </c>
      <c r="G7" s="7" t="str">
        <f>IF(F7&gt;=Metodologia!$B$25,"Crítico",IF(F7&gt;=Metodologia!$B$24,"Alto",IF(F7&gt;=Metodologia!$B$23,"Médio","Baixo")))</f>
        <v>Crítico</v>
      </c>
      <c r="H7" s="6" t="s">
        <v>21</v>
      </c>
      <c r="I7" s="5" t="s">
        <v>36</v>
      </c>
      <c r="J7" s="7" t="s">
        <v>37</v>
      </c>
      <c r="K7" s="5" t="s">
        <v>38</v>
      </c>
      <c r="L7" s="6" t="s">
        <v>25</v>
      </c>
      <c r="M7" s="6">
        <v>2.0</v>
      </c>
      <c r="N7" s="6">
        <v>4.0</v>
      </c>
      <c r="O7" s="7">
        <f t="shared" si="2"/>
        <v>8</v>
      </c>
      <c r="P7" s="7" t="str">
        <f>IF(O7&gt;=Metodologia!$B$25,"Crítico",IF(O7&gt;=Metodologia!$B$24,"Alto",IF(O7&gt;=Metodologia!$B$23,"Médio","Baixo")))</f>
        <v>Médio</v>
      </c>
    </row>
    <row r="8" ht="57.75" customHeight="1">
      <c r="A8" s="4" t="s">
        <v>39</v>
      </c>
      <c r="B8" s="5" t="s">
        <v>40</v>
      </c>
      <c r="C8" s="5" t="s">
        <v>41</v>
      </c>
      <c r="D8" s="6">
        <v>4.0</v>
      </c>
      <c r="E8" s="6">
        <v>4.0</v>
      </c>
      <c r="F8" s="7">
        <f t="shared" si="1"/>
        <v>16</v>
      </c>
      <c r="G8" s="7" t="str">
        <f>IF(F8&gt;=Metodologia!$B$25,"Crítico",IF(F8&gt;=Metodologia!$B$24,"Alto",IF(F8&gt;=Metodologia!$B$23,"Médio","Baixo")))</f>
        <v>Alto</v>
      </c>
      <c r="H8" s="6" t="s">
        <v>21</v>
      </c>
      <c r="I8" s="5" t="s">
        <v>42</v>
      </c>
      <c r="J8" s="7" t="s">
        <v>43</v>
      </c>
      <c r="K8" s="5" t="s">
        <v>44</v>
      </c>
      <c r="L8" s="6" t="s">
        <v>45</v>
      </c>
      <c r="M8" s="6">
        <v>2.0</v>
      </c>
      <c r="N8" s="6">
        <v>3.0</v>
      </c>
      <c r="O8" s="7">
        <f t="shared" si="2"/>
        <v>6</v>
      </c>
      <c r="P8" s="7" t="str">
        <f>IF(O8&gt;=Metodologia!$B$25,"Crítico",IF(O8&gt;=Metodologia!$B$24,"Alto",IF(O8&gt;=Metodologia!$B$23,"Médio","Baixo")))</f>
        <v>Médio</v>
      </c>
    </row>
    <row r="9" ht="57.75" customHeight="1">
      <c r="A9" s="4" t="s">
        <v>46</v>
      </c>
      <c r="B9" s="5" t="s">
        <v>47</v>
      </c>
      <c r="C9" s="5" t="s">
        <v>48</v>
      </c>
      <c r="D9" s="6">
        <v>3.0</v>
      </c>
      <c r="E9" s="6">
        <v>4.0</v>
      </c>
      <c r="F9" s="7">
        <f t="shared" si="1"/>
        <v>12</v>
      </c>
      <c r="G9" s="7" t="str">
        <f>IF(F9&gt;=Metodologia!$B$25,"Crítico",IF(F9&gt;=Metodologia!$B$24,"Alto",IF(F9&gt;=Metodologia!$B$23,"Médio","Baixo")))</f>
        <v>Alto</v>
      </c>
      <c r="H9" s="6" t="s">
        <v>21</v>
      </c>
      <c r="I9" s="5" t="s">
        <v>49</v>
      </c>
      <c r="J9" s="7" t="s">
        <v>50</v>
      </c>
      <c r="K9" s="5" t="s">
        <v>51</v>
      </c>
      <c r="L9" s="6" t="s">
        <v>25</v>
      </c>
      <c r="M9" s="6">
        <v>2.0</v>
      </c>
      <c r="N9" s="6">
        <v>3.0</v>
      </c>
      <c r="O9" s="7">
        <f t="shared" si="2"/>
        <v>6</v>
      </c>
      <c r="P9" s="7" t="str">
        <f>IF(O9&gt;=Metodologia!$B$25,"Crítico",IF(O9&gt;=Metodologia!$B$24,"Alto",IF(O9&gt;=Metodologia!$B$23,"Médio","Baixo")))</f>
        <v>Médio</v>
      </c>
    </row>
    <row r="10" ht="57.75" customHeight="1">
      <c r="A10" s="4" t="s">
        <v>52</v>
      </c>
      <c r="B10" s="5" t="s">
        <v>53</v>
      </c>
      <c r="C10" s="5" t="s">
        <v>54</v>
      </c>
      <c r="D10" s="6">
        <v>3.0</v>
      </c>
      <c r="E10" s="6">
        <v>4.0</v>
      </c>
      <c r="F10" s="7">
        <f t="shared" si="1"/>
        <v>12</v>
      </c>
      <c r="G10" s="7" t="str">
        <f>IF(F10&gt;=Metodologia!$B$25,"Crítico",IF(F10&gt;=Metodologia!$B$24,"Alto",IF(F10&gt;=Metodologia!$B$23,"Médio","Baixo")))</f>
        <v>Alto</v>
      </c>
      <c r="H10" s="6" t="s">
        <v>21</v>
      </c>
      <c r="I10" s="5" t="s">
        <v>55</v>
      </c>
      <c r="J10" s="7" t="s">
        <v>56</v>
      </c>
      <c r="K10" s="5" t="s">
        <v>57</v>
      </c>
      <c r="L10" s="6" t="s">
        <v>25</v>
      </c>
      <c r="M10" s="6">
        <v>1.0</v>
      </c>
      <c r="N10" s="6">
        <v>3.0</v>
      </c>
      <c r="O10" s="7">
        <f t="shared" si="2"/>
        <v>3</v>
      </c>
      <c r="P10" s="7" t="str">
        <f>IF(O10&gt;=Metodologia!$B$25,"Crítico",IF(O10&gt;=Metodologia!$B$24,"Alto",IF(O10&gt;=Metodologia!$B$23,"Médio","Baixo")))</f>
        <v>Baixo</v>
      </c>
    </row>
    <row r="11" ht="57.75" customHeight="1">
      <c r="A11" s="4" t="s">
        <v>58</v>
      </c>
      <c r="B11" s="5" t="s">
        <v>59</v>
      </c>
      <c r="C11" s="5" t="s">
        <v>60</v>
      </c>
      <c r="D11" s="6">
        <v>2.0</v>
      </c>
      <c r="E11" s="6">
        <v>4.0</v>
      </c>
      <c r="F11" s="7">
        <f t="shared" si="1"/>
        <v>8</v>
      </c>
      <c r="G11" s="7" t="str">
        <f>IF(F11&gt;=Metodologia!$B$25,"Crítico",IF(F11&gt;=Metodologia!$B$24,"Alto",IF(F11&gt;=Metodologia!$B$23,"Médio","Baixo")))</f>
        <v>Médio</v>
      </c>
      <c r="H11" s="6" t="s">
        <v>61</v>
      </c>
      <c r="I11" s="5" t="s">
        <v>62</v>
      </c>
      <c r="J11" s="7" t="s">
        <v>63</v>
      </c>
      <c r="K11" s="5" t="s">
        <v>64</v>
      </c>
      <c r="L11" s="6" t="s">
        <v>25</v>
      </c>
      <c r="M11" s="6">
        <v>2.0</v>
      </c>
      <c r="N11" s="6">
        <v>2.0</v>
      </c>
      <c r="O11" s="7">
        <f t="shared" si="2"/>
        <v>4</v>
      </c>
      <c r="P11" s="7" t="str">
        <f>IF(O11&gt;=Metodologia!$B$25,"Crítico",IF(O11&gt;=Metodologia!$B$24,"Alto",IF(O11&gt;=Metodologia!$B$23,"Médio","Baixo")))</f>
        <v>Baixo</v>
      </c>
    </row>
    <row r="12" ht="57.75" customHeight="1">
      <c r="A12" s="4" t="s">
        <v>65</v>
      </c>
      <c r="B12" s="5" t="s">
        <v>66</v>
      </c>
      <c r="C12" s="5" t="s">
        <v>67</v>
      </c>
      <c r="D12" s="6">
        <v>2.0</v>
      </c>
      <c r="E12" s="6">
        <v>3.0</v>
      </c>
      <c r="F12" s="7">
        <f t="shared" si="1"/>
        <v>6</v>
      </c>
      <c r="G12" s="7" t="str">
        <f>IF(F12&gt;=Metodologia!$B$25,"Crítico",IF(F12&gt;=Metodologia!$B$24,"Alto",IF(F12&gt;=Metodologia!$B$23,"Médio","Baixo")))</f>
        <v>Médio</v>
      </c>
      <c r="H12" s="6" t="s">
        <v>21</v>
      </c>
      <c r="I12" s="5" t="s">
        <v>68</v>
      </c>
      <c r="J12" s="7" t="s">
        <v>69</v>
      </c>
      <c r="K12" s="5" t="s">
        <v>70</v>
      </c>
      <c r="L12" s="6" t="s">
        <v>25</v>
      </c>
      <c r="M12" s="6">
        <v>1.0</v>
      </c>
      <c r="N12" s="6">
        <v>2.0</v>
      </c>
      <c r="O12" s="7">
        <f t="shared" si="2"/>
        <v>2</v>
      </c>
      <c r="P12" s="7" t="str">
        <f>IF(O12&gt;=Metodologia!$B$25,"Crítico",IF(O12&gt;=Metodologia!$B$24,"Alto",IF(O12&gt;=Metodologia!$B$23,"Médio","Baixo")))</f>
        <v>Baixo</v>
      </c>
    </row>
    <row r="13" ht="57.75" customHeight="1">
      <c r="A13" s="4" t="s">
        <v>71</v>
      </c>
      <c r="B13" s="5" t="s">
        <v>72</v>
      </c>
      <c r="C13" s="5" t="s">
        <v>73</v>
      </c>
      <c r="D13" s="6">
        <v>3.0</v>
      </c>
      <c r="E13" s="6">
        <v>4.0</v>
      </c>
      <c r="F13" s="7">
        <f t="shared" si="1"/>
        <v>12</v>
      </c>
      <c r="G13" s="7" t="str">
        <f>IF(F13&gt;=Metodologia!$B$25,"Crítico",IF(F13&gt;=Metodologia!$B$24,"Alto",IF(F13&gt;=Metodologia!$B$23,"Médio","Baixo")))</f>
        <v>Alto</v>
      </c>
      <c r="H13" s="6" t="s">
        <v>21</v>
      </c>
      <c r="I13" s="5" t="s">
        <v>74</v>
      </c>
      <c r="J13" s="7" t="s">
        <v>75</v>
      </c>
      <c r="K13" s="5" t="s">
        <v>76</v>
      </c>
      <c r="L13" s="6" t="s">
        <v>45</v>
      </c>
      <c r="M13" s="6">
        <v>2.0</v>
      </c>
      <c r="N13" s="6">
        <v>3.0</v>
      </c>
      <c r="O13" s="7">
        <f t="shared" si="2"/>
        <v>6</v>
      </c>
      <c r="P13" s="7" t="str">
        <f>IF(O13&gt;=Metodologia!$B$25,"Crítico",IF(O13&gt;=Metodologia!$B$24,"Alto",IF(O13&gt;=Metodologia!$B$23,"Médio","Baixo")))</f>
        <v>Médio</v>
      </c>
    </row>
    <row r="14" ht="57.75" customHeight="1">
      <c r="A14" s="4" t="s">
        <v>77</v>
      </c>
      <c r="B14" s="5" t="s">
        <v>78</v>
      </c>
      <c r="C14" s="5" t="s">
        <v>79</v>
      </c>
      <c r="D14" s="6">
        <v>3.0</v>
      </c>
      <c r="E14" s="6">
        <v>3.0</v>
      </c>
      <c r="F14" s="7">
        <f t="shared" si="1"/>
        <v>9</v>
      </c>
      <c r="G14" s="7" t="str">
        <f>IF(F14&gt;=Metodologia!$B$25,"Crítico",IF(F14&gt;=Metodologia!$B$24,"Alto",IF(F14&gt;=Metodologia!$B$23,"Médio","Baixo")))</f>
        <v>Médio</v>
      </c>
      <c r="H14" s="6" t="s">
        <v>21</v>
      </c>
      <c r="I14" s="5" t="s">
        <v>80</v>
      </c>
      <c r="J14" s="7" t="s">
        <v>81</v>
      </c>
      <c r="K14" s="5" t="s">
        <v>82</v>
      </c>
      <c r="L14" s="6" t="s">
        <v>32</v>
      </c>
      <c r="M14" s="6">
        <v>3.0</v>
      </c>
      <c r="N14" s="6">
        <v>1.0</v>
      </c>
      <c r="O14" s="7">
        <f t="shared" si="2"/>
        <v>3</v>
      </c>
      <c r="P14" s="7" t="str">
        <f>IF(O14&gt;=Metodologia!$B$25,"Crítico",IF(O14&gt;=Metodologia!$B$24,"Alto",IF(O14&gt;=Metodologia!$B$23,"Médio","Baixo")))</f>
        <v>Baixo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14"/>
  <conditionalFormatting sqref="G5:G14">
    <cfRule type="cellIs" dxfId="0" priority="1" operator="equal">
      <formula>"Crítico"</formula>
    </cfRule>
  </conditionalFormatting>
  <conditionalFormatting sqref="G5:G14">
    <cfRule type="cellIs" dxfId="1" priority="2" operator="equal">
      <formula>"Alto"</formula>
    </cfRule>
  </conditionalFormatting>
  <conditionalFormatting sqref="G5:G14">
    <cfRule type="cellIs" dxfId="2" priority="3" operator="equal">
      <formula>"Médio"</formula>
    </cfRule>
  </conditionalFormatting>
  <conditionalFormatting sqref="G5:G14">
    <cfRule type="cellIs" dxfId="3" priority="4" operator="equal">
      <formula>"Baixo"</formula>
    </cfRule>
  </conditionalFormatting>
  <conditionalFormatting sqref="P5:P14">
    <cfRule type="cellIs" dxfId="0" priority="5" operator="equal">
      <formula>"Crítico"</formula>
    </cfRule>
  </conditionalFormatting>
  <conditionalFormatting sqref="P5:P14">
    <cfRule type="cellIs" dxfId="1" priority="6" operator="equal">
      <formula>"Alto"</formula>
    </cfRule>
  </conditionalFormatting>
  <conditionalFormatting sqref="P5:P14">
    <cfRule type="cellIs" dxfId="2" priority="7" operator="equal">
      <formula>"Médio"</formula>
    </cfRule>
  </conditionalFormatting>
  <conditionalFormatting sqref="P5:P14">
    <cfRule type="cellIs" dxfId="3" priority="8" operator="equal">
      <formula>"Baixo"</formula>
    </cfRule>
  </conditionalFormatting>
  <dataValidations>
    <dataValidation type="list" allowBlank="1" sqref="H5:H14">
      <formula1>Metodologia!$A$30:$A$33</formula1>
    </dataValidation>
    <dataValidation type="list" allowBlank="1" sqref="L5:L14">
      <formula1>"Planejado,Em andamento,Implementado"</formula1>
    </dataValidation>
    <dataValidation type="decimal" allowBlank="1" showInputMessage="1" showErrorMessage="1" prompt="Valor inválido - Use um número inteiro de 1 a 5." sqref="D5:E14 M5:N14">
      <formula1>1.0</formula1>
      <formula2>5.0</formula2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6" width="13.0"/>
    <col customWidth="1" min="7" max="26" width="8.71"/>
  </cols>
  <sheetData>
    <row r="1">
      <c r="A1" s="1" t="s">
        <v>83</v>
      </c>
    </row>
    <row r="2">
      <c r="A2" s="2" t="s">
        <v>84</v>
      </c>
    </row>
    <row r="4">
      <c r="A4" s="8" t="s">
        <v>85</v>
      </c>
    </row>
    <row r="5" ht="30.0" customHeight="1">
      <c r="A5" s="3" t="s">
        <v>86</v>
      </c>
      <c r="B5" s="3">
        <v>1.0</v>
      </c>
      <c r="C5" s="3">
        <v>2.0</v>
      </c>
      <c r="D5" s="3">
        <v>3.0</v>
      </c>
      <c r="E5" s="3">
        <v>4.0</v>
      </c>
      <c r="F5" s="3">
        <v>5.0</v>
      </c>
    </row>
    <row r="6" ht="36.0" customHeight="1">
      <c r="A6" s="9">
        <v>5.0</v>
      </c>
      <c r="B6" s="10">
        <f>COUNTIFS('Matriz de Riscos'!$D$5:$D$14,$A6,'Matriz de Riscos'!$E$5:$E$14,B$5)</f>
        <v>0</v>
      </c>
      <c r="C6" s="10">
        <f>COUNTIFS('Matriz de Riscos'!$D$5:$D$14,$A6,'Matriz de Riscos'!$E$5:$E$14,C$5)</f>
        <v>0</v>
      </c>
      <c r="D6" s="10">
        <f>COUNTIFS('Matriz de Riscos'!$D$5:$D$14,$A6,'Matriz de Riscos'!$E$5:$E$14,D$5)</f>
        <v>0</v>
      </c>
      <c r="E6" s="10">
        <f>COUNTIFS('Matriz de Riscos'!$D$5:$D$14,$A6,'Matriz de Riscos'!$E$5:$E$14,E$5)</f>
        <v>0</v>
      </c>
      <c r="F6" s="10">
        <f>COUNTIFS('Matriz de Riscos'!$D$5:$D$14,$A6,'Matriz de Riscos'!$E$5:$E$14,F$5)</f>
        <v>0</v>
      </c>
    </row>
    <row r="7" ht="36.0" customHeight="1">
      <c r="A7" s="9">
        <v>4.0</v>
      </c>
      <c r="B7" s="10">
        <f>COUNTIFS('Matriz de Riscos'!$D$5:$D$14,$A7,'Matriz de Riscos'!$E$5:$E$14,B$5)</f>
        <v>0</v>
      </c>
      <c r="C7" s="10">
        <f>COUNTIFS('Matriz de Riscos'!$D$5:$D$14,$A7,'Matriz de Riscos'!$E$5:$E$14,C$5)</f>
        <v>0</v>
      </c>
      <c r="D7" s="10">
        <f>COUNTIFS('Matriz de Riscos'!$D$5:$D$14,$A7,'Matriz de Riscos'!$E$5:$E$14,D$5)</f>
        <v>0</v>
      </c>
      <c r="E7" s="10">
        <f>COUNTIFS('Matriz de Riscos'!$D$5:$D$14,$A7,'Matriz de Riscos'!$E$5:$E$14,E$5)</f>
        <v>1</v>
      </c>
      <c r="F7" s="10">
        <f>COUNTIFS('Matriz de Riscos'!$D$5:$D$14,$A7,'Matriz de Riscos'!$E$5:$E$14,F$5)</f>
        <v>1</v>
      </c>
    </row>
    <row r="8" ht="36.0" customHeight="1">
      <c r="A8" s="9">
        <v>3.0</v>
      </c>
      <c r="B8" s="10">
        <f>COUNTIFS('Matriz de Riscos'!$D$5:$D$14,$A8,'Matriz de Riscos'!$E$5:$E$14,B$5)</f>
        <v>0</v>
      </c>
      <c r="C8" s="10">
        <f>COUNTIFS('Matriz de Riscos'!$D$5:$D$14,$A8,'Matriz de Riscos'!$E$5:$E$14,C$5)</f>
        <v>0</v>
      </c>
      <c r="D8" s="10">
        <f>COUNTIFS('Matriz de Riscos'!$D$5:$D$14,$A8,'Matriz de Riscos'!$E$5:$E$14,D$5)</f>
        <v>1</v>
      </c>
      <c r="E8" s="10">
        <f>COUNTIFS('Matriz de Riscos'!$D$5:$D$14,$A8,'Matriz de Riscos'!$E$5:$E$14,E$5)</f>
        <v>3</v>
      </c>
      <c r="F8" s="10">
        <f>COUNTIFS('Matriz de Riscos'!$D$5:$D$14,$A8,'Matriz de Riscos'!$E$5:$E$14,F$5)</f>
        <v>1</v>
      </c>
    </row>
    <row r="9" ht="36.0" customHeight="1">
      <c r="A9" s="9">
        <v>2.0</v>
      </c>
      <c r="B9" s="10">
        <f>COUNTIFS('Matriz de Riscos'!$D$5:$D$14,$A9,'Matriz de Riscos'!$E$5:$E$14,B$5)</f>
        <v>0</v>
      </c>
      <c r="C9" s="10">
        <f>COUNTIFS('Matriz de Riscos'!$D$5:$D$14,$A9,'Matriz de Riscos'!$E$5:$E$14,C$5)</f>
        <v>0</v>
      </c>
      <c r="D9" s="10">
        <f>COUNTIFS('Matriz de Riscos'!$D$5:$D$14,$A9,'Matriz de Riscos'!$E$5:$E$14,D$5)</f>
        <v>1</v>
      </c>
      <c r="E9" s="10">
        <f>COUNTIFS('Matriz de Riscos'!$D$5:$D$14,$A9,'Matriz de Riscos'!$E$5:$E$14,E$5)</f>
        <v>1</v>
      </c>
      <c r="F9" s="10">
        <f>COUNTIFS('Matriz de Riscos'!$D$5:$D$14,$A9,'Matriz de Riscos'!$E$5:$E$14,F$5)</f>
        <v>1</v>
      </c>
    </row>
    <row r="10" ht="36.0" customHeight="1">
      <c r="A10" s="9">
        <v>1.0</v>
      </c>
      <c r="B10" s="10">
        <f>COUNTIFS('Matriz de Riscos'!$D$5:$D$14,$A10,'Matriz de Riscos'!$E$5:$E$14,B$5)</f>
        <v>0</v>
      </c>
      <c r="C10" s="10">
        <f>COUNTIFS('Matriz de Riscos'!$D$5:$D$14,$A10,'Matriz de Riscos'!$E$5:$E$14,C$5)</f>
        <v>0</v>
      </c>
      <c r="D10" s="10">
        <f>COUNTIFS('Matriz de Riscos'!$D$5:$D$14,$A10,'Matriz de Riscos'!$E$5:$E$14,D$5)</f>
        <v>0</v>
      </c>
      <c r="E10" s="10">
        <f>COUNTIFS('Matriz de Riscos'!$D$5:$D$14,$A10,'Matriz de Riscos'!$E$5:$E$14,E$5)</f>
        <v>0</v>
      </c>
      <c r="F10" s="10">
        <f>COUNTIFS('Matriz de Riscos'!$D$5:$D$14,$A10,'Matriz de Riscos'!$E$5:$E$14,F$5)</f>
        <v>0</v>
      </c>
    </row>
    <row r="13">
      <c r="A13" s="8" t="s">
        <v>87</v>
      </c>
    </row>
    <row r="14" ht="30.0" customHeight="1">
      <c r="A14" s="3" t="s">
        <v>86</v>
      </c>
      <c r="B14" s="3">
        <v>1.0</v>
      </c>
      <c r="C14" s="3">
        <v>2.0</v>
      </c>
      <c r="D14" s="3">
        <v>3.0</v>
      </c>
      <c r="E14" s="3">
        <v>4.0</v>
      </c>
      <c r="F14" s="3">
        <v>5.0</v>
      </c>
    </row>
    <row r="15" ht="36.0" customHeight="1">
      <c r="A15" s="9">
        <v>5.0</v>
      </c>
      <c r="B15" s="10">
        <f>COUNTIFS('Matriz de Riscos'!$M$5:$M$14,$A15,'Matriz de Riscos'!$N$5:$N$14,B$14)</f>
        <v>0</v>
      </c>
      <c r="C15" s="10">
        <f>COUNTIFS('Matriz de Riscos'!$M$5:$M$14,$A15,'Matriz de Riscos'!$N$5:$N$14,C$14)</f>
        <v>0</v>
      </c>
      <c r="D15" s="10">
        <f>COUNTIFS('Matriz de Riscos'!$M$5:$M$14,$A15,'Matriz de Riscos'!$N$5:$N$14,D$14)</f>
        <v>0</v>
      </c>
      <c r="E15" s="10">
        <f>COUNTIFS('Matriz de Riscos'!$M$5:$M$14,$A15,'Matriz de Riscos'!$N$5:$N$14,E$14)</f>
        <v>0</v>
      </c>
      <c r="F15" s="10">
        <f>COUNTIFS('Matriz de Riscos'!$M$5:$M$14,$A15,'Matriz de Riscos'!$N$5:$N$14,F$14)</f>
        <v>0</v>
      </c>
    </row>
    <row r="16" ht="36.0" customHeight="1">
      <c r="A16" s="9">
        <v>4.0</v>
      </c>
      <c r="B16" s="10">
        <f>COUNTIFS('Matriz de Riscos'!$M$5:$M$14,$A16,'Matriz de Riscos'!$N$5:$N$14,B$14)</f>
        <v>0</v>
      </c>
      <c r="C16" s="10">
        <f>COUNTIFS('Matriz de Riscos'!$M$5:$M$14,$A16,'Matriz de Riscos'!$N$5:$N$14,C$14)</f>
        <v>0</v>
      </c>
      <c r="D16" s="10">
        <f>COUNTIFS('Matriz de Riscos'!$M$5:$M$14,$A16,'Matriz de Riscos'!$N$5:$N$14,D$14)</f>
        <v>0</v>
      </c>
      <c r="E16" s="10">
        <f>COUNTIFS('Matriz de Riscos'!$M$5:$M$14,$A16,'Matriz de Riscos'!$N$5:$N$14,E$14)</f>
        <v>0</v>
      </c>
      <c r="F16" s="10">
        <f>COUNTIFS('Matriz de Riscos'!$M$5:$M$14,$A16,'Matriz de Riscos'!$N$5:$N$14,F$14)</f>
        <v>0</v>
      </c>
    </row>
    <row r="17" ht="36.0" customHeight="1">
      <c r="A17" s="9">
        <v>3.0</v>
      </c>
      <c r="B17" s="10">
        <f>COUNTIFS('Matriz de Riscos'!$M$5:$M$14,$A17,'Matriz de Riscos'!$N$5:$N$14,B$14)</f>
        <v>1</v>
      </c>
      <c r="C17" s="10">
        <f>COUNTIFS('Matriz de Riscos'!$M$5:$M$14,$A17,'Matriz de Riscos'!$N$5:$N$14,C$14)</f>
        <v>0</v>
      </c>
      <c r="D17" s="10">
        <f>COUNTIFS('Matriz de Riscos'!$M$5:$M$14,$A17,'Matriz de Riscos'!$N$5:$N$14,D$14)</f>
        <v>0</v>
      </c>
      <c r="E17" s="10">
        <f>COUNTIFS('Matriz de Riscos'!$M$5:$M$14,$A17,'Matriz de Riscos'!$N$5:$N$14,E$14)</f>
        <v>0</v>
      </c>
      <c r="F17" s="10">
        <f>COUNTIFS('Matriz de Riscos'!$M$5:$M$14,$A17,'Matriz de Riscos'!$N$5:$N$14,F$14)</f>
        <v>0</v>
      </c>
    </row>
    <row r="18" ht="36.0" customHeight="1">
      <c r="A18" s="9">
        <v>2.0</v>
      </c>
      <c r="B18" s="10">
        <f>COUNTIFS('Matriz de Riscos'!$M$5:$M$14,$A18,'Matriz de Riscos'!$N$5:$N$14,B$14)</f>
        <v>0</v>
      </c>
      <c r="C18" s="10">
        <f>COUNTIFS('Matriz de Riscos'!$M$5:$M$14,$A18,'Matriz de Riscos'!$N$5:$N$14,C$14)</f>
        <v>1</v>
      </c>
      <c r="D18" s="10">
        <f>COUNTIFS('Matriz de Riscos'!$M$5:$M$14,$A18,'Matriz de Riscos'!$N$5:$N$14,D$14)</f>
        <v>3</v>
      </c>
      <c r="E18" s="10">
        <f>COUNTIFS('Matriz de Riscos'!$M$5:$M$14,$A18,'Matriz de Riscos'!$N$5:$N$14,E$14)</f>
        <v>2</v>
      </c>
      <c r="F18" s="10">
        <f>COUNTIFS('Matriz de Riscos'!$M$5:$M$14,$A18,'Matriz de Riscos'!$N$5:$N$14,F$14)</f>
        <v>0</v>
      </c>
    </row>
    <row r="19" ht="36.0" customHeight="1">
      <c r="A19" s="9">
        <v>1.0</v>
      </c>
      <c r="B19" s="10">
        <f>COUNTIFS('Matriz de Riscos'!$M$5:$M$14,$A19,'Matriz de Riscos'!$N$5:$N$14,B$14)</f>
        <v>0</v>
      </c>
      <c r="C19" s="10">
        <f>COUNTIFS('Matriz de Riscos'!$M$5:$M$14,$A19,'Matriz de Riscos'!$N$5:$N$14,C$14)</f>
        <v>1</v>
      </c>
      <c r="D19" s="10">
        <f>COUNTIFS('Matriz de Riscos'!$M$5:$M$14,$A19,'Matriz de Riscos'!$N$5:$N$14,D$14)</f>
        <v>1</v>
      </c>
      <c r="E19" s="10">
        <f>COUNTIFS('Matriz de Riscos'!$M$5:$M$14,$A19,'Matriz de Riscos'!$N$5:$N$14,E$14)</f>
        <v>1</v>
      </c>
      <c r="F19" s="10">
        <f>COUNTIFS('Matriz de Riscos'!$M$5:$M$14,$A19,'Matriz de Riscos'!$N$5:$N$14,F$14)</f>
        <v>0</v>
      </c>
    </row>
    <row r="21" ht="15.75" customHeight="1"/>
    <row r="22" ht="15.75" customHeight="1">
      <c r="A22" s="8" t="s">
        <v>88</v>
      </c>
    </row>
    <row r="23" ht="15.75" customHeight="1">
      <c r="A23" s="3" t="s">
        <v>89</v>
      </c>
      <c r="B23" s="3" t="s">
        <v>90</v>
      </c>
      <c r="C23" s="3" t="s">
        <v>91</v>
      </c>
    </row>
    <row r="24" ht="15.75" customHeight="1">
      <c r="A24" s="11" t="s">
        <v>92</v>
      </c>
      <c r="B24" s="12">
        <f>COUNTIF('Matriz de Riscos'!$G$5:$G$14,$A24)</f>
        <v>1</v>
      </c>
      <c r="C24" s="12">
        <f>COUNTIF('Matriz de Riscos'!$P$5:$P$14,$A24)</f>
        <v>0</v>
      </c>
    </row>
    <row r="25" ht="15.75" customHeight="1">
      <c r="A25" s="13" t="s">
        <v>93</v>
      </c>
      <c r="B25" s="12">
        <f>COUNTIF('Matriz de Riscos'!$G$5:$G$14,$A25)</f>
        <v>5</v>
      </c>
      <c r="C25" s="12">
        <f>COUNTIF('Matriz de Riscos'!$P$5:$P$14,$A25)</f>
        <v>0</v>
      </c>
    </row>
    <row r="26" ht="15.75" customHeight="1">
      <c r="A26" s="14" t="s">
        <v>94</v>
      </c>
      <c r="B26" s="12">
        <f>COUNTIF('Matriz de Riscos'!$G$5:$G$14,$A26)</f>
        <v>4</v>
      </c>
      <c r="C26" s="12">
        <f>COUNTIF('Matriz de Riscos'!$P$5:$P$14,$A26)</f>
        <v>5</v>
      </c>
    </row>
    <row r="27" ht="15.75" customHeight="1">
      <c r="A27" s="15" t="s">
        <v>95</v>
      </c>
      <c r="B27" s="12">
        <f>COUNTIF('Matriz de Riscos'!$G$5:$G$14,$A27)</f>
        <v>0</v>
      </c>
      <c r="C27" s="12">
        <f>COUNTIF('Matriz de Riscos'!$P$5:$P$14,$A27)</f>
        <v>5</v>
      </c>
    </row>
    <row r="28" ht="15.75" customHeight="1">
      <c r="A28" s="9" t="s">
        <v>96</v>
      </c>
      <c r="B28" s="9">
        <f t="shared" ref="B28:C28" si="1">SUM(B24:B27)</f>
        <v>10</v>
      </c>
      <c r="C28" s="9">
        <f t="shared" si="1"/>
        <v>10</v>
      </c>
    </row>
    <row r="29" ht="15.75" customHeight="1"/>
    <row r="30" ht="15.75" customHeight="1">
      <c r="A30" s="16" t="s">
        <v>97</v>
      </c>
      <c r="B30" s="17">
        <f>AVERAGE('Matriz de Riscos'!$F$5:$F$14)</f>
        <v>12</v>
      </c>
      <c r="C30" s="17">
        <f>AVERAGE('Matriz de Riscos'!$O$5:$O$14)</f>
        <v>5</v>
      </c>
    </row>
    <row r="31" ht="15.75" customHeight="1">
      <c r="A31" s="16" t="s">
        <v>98</v>
      </c>
      <c r="B31" s="12"/>
      <c r="C31" s="18">
        <f>IF(B30=0,0,1-C30/B30)</f>
        <v>0.5833333333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6:F10">
    <cfRule type="expression" dxfId="4" priority="1">
      <formula>$A6*B$5&gt;=1</formula>
    </cfRule>
  </conditionalFormatting>
  <conditionalFormatting sqref="B15:F19">
    <cfRule type="expression" dxfId="4" priority="2">
      <formula>$A15*B$14&gt;=1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4" width="60.0"/>
    <col customWidth="1" min="5" max="26" width="8.71"/>
  </cols>
  <sheetData>
    <row r="1">
      <c r="A1" s="1" t="s">
        <v>99</v>
      </c>
    </row>
    <row r="2">
      <c r="A2" s="2" t="s">
        <v>100</v>
      </c>
    </row>
    <row r="4">
      <c r="A4" s="8" t="s">
        <v>101</v>
      </c>
    </row>
    <row r="5">
      <c r="A5" s="3" t="s">
        <v>102</v>
      </c>
      <c r="B5" s="3" t="s">
        <v>103</v>
      </c>
      <c r="C5" s="3" t="s">
        <v>104</v>
      </c>
    </row>
    <row r="6">
      <c r="A6" s="12">
        <v>1.0</v>
      </c>
      <c r="B6" s="19" t="s">
        <v>105</v>
      </c>
      <c r="C6" s="19" t="s">
        <v>106</v>
      </c>
    </row>
    <row r="7">
      <c r="A7" s="12">
        <v>2.0</v>
      </c>
      <c r="B7" s="19" t="s">
        <v>107</v>
      </c>
      <c r="C7" s="19" t="s">
        <v>108</v>
      </c>
    </row>
    <row r="8">
      <c r="A8" s="12">
        <v>3.0</v>
      </c>
      <c r="B8" s="19" t="s">
        <v>109</v>
      </c>
      <c r="C8" s="19" t="s">
        <v>110</v>
      </c>
    </row>
    <row r="9">
      <c r="A9" s="12">
        <v>4.0</v>
      </c>
      <c r="B9" s="19" t="s">
        <v>111</v>
      </c>
      <c r="C9" s="19" t="s">
        <v>112</v>
      </c>
    </row>
    <row r="10">
      <c r="A10" s="12">
        <v>5.0</v>
      </c>
      <c r="B10" s="19" t="s">
        <v>113</v>
      </c>
      <c r="C10" s="19" t="s">
        <v>114</v>
      </c>
    </row>
    <row r="12">
      <c r="A12" s="8" t="s">
        <v>115</v>
      </c>
    </row>
    <row r="13">
      <c r="A13" s="3" t="s">
        <v>102</v>
      </c>
      <c r="B13" s="3" t="s">
        <v>103</v>
      </c>
      <c r="C13" s="3" t="s">
        <v>104</v>
      </c>
    </row>
    <row r="14">
      <c r="A14" s="12">
        <v>1.0</v>
      </c>
      <c r="B14" s="19" t="s">
        <v>116</v>
      </c>
      <c r="C14" s="19" t="s">
        <v>117</v>
      </c>
    </row>
    <row r="15">
      <c r="A15" s="12">
        <v>2.0</v>
      </c>
      <c r="B15" s="19" t="s">
        <v>118</v>
      </c>
      <c r="C15" s="19" t="s">
        <v>119</v>
      </c>
    </row>
    <row r="16">
      <c r="A16" s="12">
        <v>3.0</v>
      </c>
      <c r="B16" s="19" t="s">
        <v>120</v>
      </c>
      <c r="C16" s="19" t="s">
        <v>121</v>
      </c>
    </row>
    <row r="17">
      <c r="A17" s="12">
        <v>4.0</v>
      </c>
      <c r="B17" s="19" t="s">
        <v>122</v>
      </c>
      <c r="C17" s="19" t="s">
        <v>123</v>
      </c>
    </row>
    <row r="18">
      <c r="A18" s="12">
        <v>5.0</v>
      </c>
      <c r="B18" s="19" t="s">
        <v>124</v>
      </c>
      <c r="C18" s="19" t="s">
        <v>125</v>
      </c>
    </row>
    <row r="20">
      <c r="A20" s="8" t="s">
        <v>126</v>
      </c>
    </row>
    <row r="21" ht="15.75" customHeight="1">
      <c r="A21" s="3" t="s">
        <v>89</v>
      </c>
      <c r="B21" s="3" t="s">
        <v>127</v>
      </c>
      <c r="C21" s="3" t="s">
        <v>128</v>
      </c>
      <c r="D21" s="3" t="s">
        <v>129</v>
      </c>
    </row>
    <row r="22" ht="15.75" customHeight="1">
      <c r="A22" s="20" t="s">
        <v>95</v>
      </c>
      <c r="B22" s="6">
        <v>1.0</v>
      </c>
      <c r="C22" s="12">
        <f t="shared" ref="C22:C24" si="1">B23-1</f>
        <v>5</v>
      </c>
      <c r="D22" s="19" t="s">
        <v>130</v>
      </c>
    </row>
    <row r="23" ht="15.75" customHeight="1">
      <c r="A23" s="21" t="s">
        <v>94</v>
      </c>
      <c r="B23" s="6">
        <v>6.0</v>
      </c>
      <c r="C23" s="12">
        <f t="shared" si="1"/>
        <v>10</v>
      </c>
      <c r="D23" s="19" t="s">
        <v>131</v>
      </c>
    </row>
    <row r="24" ht="15.75" customHeight="1">
      <c r="A24" s="22" t="s">
        <v>93</v>
      </c>
      <c r="B24" s="6">
        <v>11.0</v>
      </c>
      <c r="C24" s="12">
        <f t="shared" si="1"/>
        <v>16</v>
      </c>
      <c r="D24" s="19" t="s">
        <v>132</v>
      </c>
    </row>
    <row r="25" ht="15.75" customHeight="1">
      <c r="A25" s="23" t="s">
        <v>92</v>
      </c>
      <c r="B25" s="6">
        <v>17.0</v>
      </c>
      <c r="C25" s="12">
        <f>5*5</f>
        <v>25</v>
      </c>
      <c r="D25" s="19" t="s">
        <v>133</v>
      </c>
    </row>
    <row r="26" ht="15.75" customHeight="1">
      <c r="A26" s="2" t="s">
        <v>134</v>
      </c>
    </row>
    <row r="27" ht="15.75" customHeight="1"/>
    <row r="28" ht="15.75" customHeight="1">
      <c r="A28" s="8" t="s">
        <v>135</v>
      </c>
    </row>
    <row r="29" ht="15.75" customHeight="1">
      <c r="A29" s="3" t="s">
        <v>9</v>
      </c>
      <c r="B29" s="3" t="s">
        <v>136</v>
      </c>
    </row>
    <row r="30" ht="15.75" customHeight="1">
      <c r="A30" s="24" t="s">
        <v>21</v>
      </c>
      <c r="B30" s="19" t="s">
        <v>137</v>
      </c>
    </row>
    <row r="31" ht="15.75" customHeight="1">
      <c r="A31" s="24" t="s">
        <v>138</v>
      </c>
      <c r="B31" s="19" t="s">
        <v>139</v>
      </c>
    </row>
    <row r="32" ht="15.75" customHeight="1">
      <c r="A32" s="24" t="s">
        <v>61</v>
      </c>
      <c r="B32" s="19" t="s">
        <v>140</v>
      </c>
    </row>
    <row r="33" ht="15.75" customHeight="1">
      <c r="A33" s="24" t="s">
        <v>141</v>
      </c>
      <c r="B33" s="19" t="s">
        <v>142</v>
      </c>
    </row>
    <row r="34" ht="15.75" customHeight="1"/>
    <row r="35" ht="15.75" customHeight="1">
      <c r="A35" s="8" t="s">
        <v>143</v>
      </c>
    </row>
    <row r="36" ht="15.75" customHeight="1">
      <c r="A36" s="25" t="s">
        <v>144</v>
      </c>
    </row>
    <row r="37" ht="15.75" customHeight="1">
      <c r="A37" s="25" t="s">
        <v>145</v>
      </c>
    </row>
    <row r="38" ht="15.75" customHeight="1">
      <c r="A38" s="25" t="s">
        <v>146</v>
      </c>
    </row>
    <row r="39" ht="15.75" customHeight="1">
      <c r="A39" s="25" t="s">
        <v>147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